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BusinessData\Kabetchi\QuizData\"/>
    </mc:Choice>
  </mc:AlternateContent>
  <xr:revisionPtr revIDLastSave="0" documentId="13_ncr:1_{88710A70-73E7-47E1-BBEF-9044D6DBECBF}" xr6:coauthVersionLast="47" xr6:coauthVersionMax="47" xr10:uidLastSave="{00000000-0000-0000-0000-000000000000}"/>
  <bookViews>
    <workbookView xWindow="-98" yWindow="-98" windowWidth="19396" windowHeight="11475" tabRatio="746" xr2:uid="{0BFCD352-0D03-4C16-A805-91914848CB59}"/>
  </bookViews>
  <sheets>
    <sheet name="Management" sheetId="1" r:id="rId1"/>
    <sheet name="Dashboard" sheetId="2" r:id="rId2"/>
    <sheet name="Standings" sheetId="3" r:id="rId3"/>
    <sheet name="Statistics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A37" i="8" l="1"/>
  <c r="Z37" i="8"/>
  <c r="Y37" i="8"/>
  <c r="X37" i="8"/>
  <c r="W37" i="8"/>
  <c r="V37" i="8"/>
  <c r="AA36" i="8"/>
  <c r="Z36" i="8"/>
  <c r="Y36" i="8"/>
  <c r="X36" i="8"/>
  <c r="W36" i="8"/>
  <c r="V36" i="8"/>
  <c r="AA35" i="8"/>
  <c r="Z35" i="8"/>
  <c r="Y35" i="8"/>
  <c r="X35" i="8"/>
  <c r="W35" i="8"/>
  <c r="V35" i="8"/>
  <c r="AA34" i="8"/>
  <c r="Z34" i="8"/>
  <c r="Y34" i="8"/>
  <c r="X34" i="8"/>
  <c r="W34" i="8"/>
  <c r="V34" i="8"/>
  <c r="AA33" i="8"/>
  <c r="Z33" i="8"/>
  <c r="Y33" i="8"/>
  <c r="X33" i="8"/>
  <c r="W33" i="8"/>
  <c r="V33" i="8"/>
  <c r="AA32" i="8"/>
  <c r="Z32" i="8"/>
  <c r="Y32" i="8"/>
  <c r="X32" i="8"/>
  <c r="W32" i="8"/>
  <c r="V32" i="8"/>
  <c r="AA31" i="8"/>
  <c r="Z31" i="8"/>
  <c r="Y31" i="8"/>
  <c r="X31" i="8"/>
  <c r="W31" i="8"/>
  <c r="V31" i="8"/>
  <c r="AA30" i="8"/>
  <c r="Z30" i="8"/>
  <c r="Y30" i="8"/>
  <c r="X30" i="8"/>
  <c r="W30" i="8"/>
  <c r="V30" i="8"/>
  <c r="AA29" i="8"/>
  <c r="Z29" i="8"/>
  <c r="Y29" i="8"/>
  <c r="X29" i="8"/>
  <c r="W29" i="8"/>
  <c r="V29" i="8"/>
  <c r="AA28" i="8"/>
  <c r="Z28" i="8"/>
  <c r="Y28" i="8"/>
  <c r="X28" i="8"/>
  <c r="W28" i="8"/>
  <c r="V28" i="8"/>
  <c r="AA27" i="8"/>
  <c r="Z27" i="8"/>
  <c r="Y27" i="8"/>
  <c r="X27" i="8"/>
  <c r="W27" i="8"/>
  <c r="V27" i="8"/>
  <c r="AA26" i="8"/>
  <c r="Z26" i="8"/>
  <c r="Y26" i="8"/>
  <c r="X26" i="8"/>
  <c r="W26" i="8"/>
  <c r="V26" i="8"/>
  <c r="AA25" i="8"/>
  <c r="Z25" i="8"/>
  <c r="Y25" i="8"/>
  <c r="X25" i="8"/>
  <c r="W25" i="8"/>
  <c r="V25" i="8"/>
  <c r="AA24" i="8"/>
  <c r="Z24" i="8"/>
  <c r="Y24" i="8"/>
  <c r="X24" i="8"/>
  <c r="W24" i="8"/>
  <c r="V24" i="8"/>
  <c r="AA23" i="8"/>
  <c r="Z23" i="8"/>
  <c r="Y23" i="8"/>
  <c r="X23" i="8"/>
  <c r="W23" i="8"/>
  <c r="V23" i="8"/>
  <c r="AA22" i="8"/>
  <c r="Z22" i="8"/>
  <c r="Y22" i="8"/>
  <c r="X22" i="8"/>
  <c r="W22" i="8"/>
  <c r="V22" i="8"/>
  <c r="AA21" i="8"/>
  <c r="Z21" i="8"/>
  <c r="Y21" i="8"/>
  <c r="X21" i="8"/>
  <c r="W21" i="8"/>
  <c r="V21" i="8"/>
  <c r="AA20" i="8"/>
  <c r="Z20" i="8"/>
  <c r="Y20" i="8"/>
  <c r="X20" i="8"/>
  <c r="W20" i="8"/>
  <c r="V20" i="8"/>
  <c r="AA19" i="8"/>
  <c r="Z19" i="8"/>
  <c r="Y19" i="8"/>
  <c r="X19" i="8"/>
  <c r="W19" i="8"/>
  <c r="V19" i="8"/>
  <c r="AA18" i="8"/>
  <c r="Z18" i="8"/>
  <c r="Y18" i="8"/>
  <c r="X18" i="8"/>
  <c r="W18" i="8"/>
  <c r="V18" i="8"/>
  <c r="AA17" i="8"/>
  <c r="Z17" i="8"/>
  <c r="Y17" i="8"/>
  <c r="X17" i="8"/>
  <c r="W17" i="8"/>
  <c r="V17" i="8"/>
  <c r="AA16" i="8"/>
  <c r="Z16" i="8"/>
  <c r="Y16" i="8"/>
  <c r="X16" i="8"/>
  <c r="W16" i="8"/>
  <c r="V16" i="8"/>
  <c r="AA15" i="8"/>
  <c r="Z15" i="8"/>
  <c r="Y15" i="8"/>
  <c r="X15" i="8"/>
  <c r="W15" i="8"/>
  <c r="V15" i="8"/>
  <c r="AA14" i="8"/>
  <c r="Z14" i="8"/>
  <c r="Y14" i="8"/>
  <c r="X14" i="8"/>
  <c r="W14" i="8"/>
  <c r="V14" i="8"/>
  <c r="AA13" i="8"/>
  <c r="Z13" i="8"/>
  <c r="Y13" i="8"/>
  <c r="X13" i="8"/>
  <c r="W13" i="8"/>
  <c r="V13" i="8"/>
  <c r="AA12" i="8"/>
  <c r="Z12" i="8"/>
  <c r="Y12" i="8"/>
  <c r="X12" i="8"/>
  <c r="W12" i="8"/>
  <c r="V12" i="8"/>
  <c r="AA11" i="8"/>
  <c r="Z11" i="8"/>
  <c r="Y11" i="8"/>
  <c r="X11" i="8"/>
  <c r="W11" i="8"/>
  <c r="V11" i="8"/>
  <c r="AA10" i="8"/>
  <c r="Z10" i="8"/>
  <c r="Y10" i="8"/>
  <c r="X10" i="8"/>
  <c r="W10" i="8"/>
  <c r="V10" i="8"/>
  <c r="AA9" i="8"/>
  <c r="Z9" i="8"/>
  <c r="Y9" i="8"/>
  <c r="X9" i="8"/>
  <c r="W9" i="8"/>
  <c r="V9" i="8"/>
  <c r="AA8" i="8"/>
  <c r="Z8" i="8"/>
  <c r="Y8" i="8"/>
  <c r="X8" i="8"/>
  <c r="W8" i="8"/>
  <c r="V8" i="8"/>
  <c r="B9" i="8"/>
  <c r="J13" i="8"/>
  <c r="T13" i="8"/>
  <c r="J14" i="8"/>
  <c r="T14" i="8"/>
  <c r="J15" i="8"/>
  <c r="T15" i="8"/>
  <c r="J16" i="8"/>
  <c r="T16" i="8"/>
  <c r="J17" i="8"/>
  <c r="T17" i="8"/>
  <c r="J18" i="8"/>
  <c r="T18" i="8"/>
  <c r="J19" i="8"/>
  <c r="T19" i="8"/>
  <c r="J20" i="8"/>
  <c r="T20" i="8"/>
  <c r="G9" i="8"/>
  <c r="L9" i="8"/>
  <c r="Q9" i="8"/>
  <c r="D1" i="3" a="1"/>
  <c r="D1" i="3" s="1"/>
  <c r="E1" i="3" a="1"/>
  <c r="E1" i="3" s="1"/>
  <c r="F1" i="3" a="1"/>
  <c r="F1" i="3" s="1"/>
  <c r="G1" i="3" a="1"/>
  <c r="G1" i="3" s="1"/>
  <c r="H1" i="3" a="1"/>
  <c r="H1" i="3" s="1"/>
  <c r="K1" i="3" a="1"/>
  <c r="K1" i="3" s="1"/>
  <c r="N1" i="3" a="1"/>
  <c r="N1" i="3" s="1"/>
  <c r="S1" i="3" a="1"/>
  <c r="S1" i="3" s="1"/>
  <c r="T1" i="3" a="1"/>
  <c r="T1" i="3" s="1"/>
  <c r="U1" i="3" a="1"/>
  <c r="U1" i="3" s="1"/>
  <c r="V1" i="3" a="1"/>
  <c r="V1" i="3" s="1"/>
  <c r="W1" i="3" a="1"/>
  <c r="W1" i="3" s="1"/>
  <c r="X1" i="3" a="1"/>
  <c r="X1" i="3" s="1"/>
  <c r="Y1" i="3" a="1"/>
  <c r="Y1" i="3" s="1"/>
  <c r="Z1" i="3" a="1"/>
  <c r="Z1" i="3" s="1"/>
  <c r="AA1" i="3" a="1"/>
  <c r="AA1" i="3" s="1"/>
  <c r="AB1" i="3" a="1"/>
  <c r="AB1" i="3" s="1"/>
  <c r="AC1" i="3" a="1"/>
  <c r="AC1" i="3" s="1"/>
  <c r="AD1" i="3" a="1"/>
  <c r="AD1" i="3" s="1"/>
  <c r="AE1" i="3" a="1"/>
  <c r="AE1" i="3" s="1"/>
  <c r="AF1" i="3" a="1"/>
  <c r="AF1" i="3" s="1"/>
  <c r="AG1" i="3" a="1"/>
  <c r="AG1" i="3" s="1"/>
  <c r="A2" i="3"/>
  <c r="T2" i="3" a="1"/>
  <c r="T2" i="3" s="1"/>
  <c r="U2" i="3" a="1"/>
  <c r="U2" i="3" s="1"/>
  <c r="V2" i="3" a="1"/>
  <c r="V2" i="3" s="1"/>
  <c r="W2" i="3" a="1"/>
  <c r="W2" i="3" s="1"/>
  <c r="X2" i="3" a="1"/>
  <c r="X2" i="3" s="1"/>
  <c r="Y2" i="3" a="1"/>
  <c r="Y2" i="3" s="1"/>
  <c r="Z2" i="3" a="1"/>
  <c r="Z2" i="3" s="1"/>
  <c r="AA2" i="3" a="1"/>
  <c r="AA2" i="3" s="1"/>
  <c r="AB2" i="3" a="1"/>
  <c r="AB2" i="3" s="1"/>
  <c r="AC2" i="3" a="1"/>
  <c r="AC2" i="3" s="1"/>
  <c r="AD2" i="3" a="1"/>
  <c r="AD2" i="3" s="1"/>
  <c r="AE2" i="3" a="1"/>
  <c r="AE2" i="3" s="1"/>
  <c r="AF2" i="3" a="1"/>
  <c r="AF2" i="3" s="1"/>
  <c r="AG2" i="3" a="1"/>
  <c r="AG2" i="3" s="1"/>
  <c r="A3" i="3"/>
  <c r="T3" i="3" a="1"/>
  <c r="T3" i="3" s="1"/>
  <c r="U3" i="3" a="1"/>
  <c r="U3" i="3" s="1"/>
  <c r="V3" i="3" a="1"/>
  <c r="V3" i="3" s="1"/>
  <c r="W3" i="3" a="1"/>
  <c r="W3" i="3" s="1"/>
  <c r="X3" i="3" a="1"/>
  <c r="X3" i="3" s="1"/>
  <c r="Y3" i="3" a="1"/>
  <c r="Y3" i="3" s="1"/>
  <c r="Z3" i="3" a="1"/>
  <c r="Z3" i="3" s="1"/>
  <c r="AA3" i="3" a="1"/>
  <c r="AA3" i="3" s="1"/>
  <c r="AB3" i="3" a="1"/>
  <c r="AB3" i="3" s="1"/>
  <c r="AC3" i="3" a="1"/>
  <c r="AC3" i="3" s="1"/>
  <c r="AD3" i="3" a="1"/>
  <c r="AD3" i="3" s="1"/>
  <c r="AE3" i="3" a="1"/>
  <c r="AE3" i="3" s="1"/>
  <c r="AF3" i="3" a="1"/>
  <c r="AF3" i="3" s="1"/>
  <c r="AG3" i="3" a="1"/>
  <c r="AG3" i="3" s="1"/>
  <c r="A4" i="3"/>
  <c r="T4" i="3" a="1"/>
  <c r="T4" i="3" s="1"/>
  <c r="U4" i="3" a="1"/>
  <c r="U4" i="3" s="1"/>
  <c r="V4" i="3" a="1"/>
  <c r="V4" i="3" s="1"/>
  <c r="W4" i="3" a="1"/>
  <c r="W4" i="3" s="1"/>
  <c r="X4" i="3" a="1"/>
  <c r="X4" i="3" s="1"/>
  <c r="Y4" i="3" a="1"/>
  <c r="Y4" i="3" s="1"/>
  <c r="Z4" i="3" a="1"/>
  <c r="Z4" i="3" s="1"/>
  <c r="AA4" i="3" a="1"/>
  <c r="AA4" i="3" s="1"/>
  <c r="AB4" i="3" a="1"/>
  <c r="AB4" i="3" s="1"/>
  <c r="AC4" i="3" a="1"/>
  <c r="AC4" i="3" s="1"/>
  <c r="AD4" i="3" a="1"/>
  <c r="AD4" i="3" s="1"/>
  <c r="AE4" i="3" a="1"/>
  <c r="AE4" i="3" s="1"/>
  <c r="AF4" i="3" a="1"/>
  <c r="AF4" i="3" s="1"/>
  <c r="AG4" i="3" a="1"/>
  <c r="AG4" i="3" s="1"/>
  <c r="A5" i="3"/>
  <c r="T5" i="3" a="1"/>
  <c r="T5" i="3" s="1"/>
  <c r="U5" i="3" a="1"/>
  <c r="U5" i="3" s="1"/>
  <c r="V5" i="3" a="1"/>
  <c r="V5" i="3" s="1"/>
  <c r="W5" i="3" a="1"/>
  <c r="W5" i="3" s="1"/>
  <c r="X5" i="3" a="1"/>
  <c r="X5" i="3" s="1"/>
  <c r="A6" i="3"/>
  <c r="T6" i="3" a="1"/>
  <c r="T6" i="3" s="1"/>
  <c r="U6" i="3" a="1"/>
  <c r="U6" i="3" s="1"/>
  <c r="V6" i="3" a="1"/>
  <c r="V6" i="3" s="1"/>
  <c r="W6" i="3" a="1"/>
  <c r="W6" i="3" s="1"/>
  <c r="X6" i="3" a="1"/>
  <c r="X6" i="3" s="1"/>
  <c r="Y6" i="3" a="1"/>
  <c r="Y6" i="3" s="1"/>
  <c r="Z6" i="3" a="1"/>
  <c r="Z6" i="3" s="1"/>
  <c r="AA6" i="3" a="1"/>
  <c r="AA6" i="3" s="1"/>
  <c r="AB6" i="3" a="1"/>
  <c r="AB6" i="3" s="1"/>
  <c r="AC6" i="3" a="1"/>
  <c r="AC6" i="3" s="1"/>
  <c r="AD6" i="3" a="1"/>
  <c r="AD6" i="3" s="1"/>
  <c r="AE6" i="3" a="1"/>
  <c r="AE6" i="3" s="1"/>
  <c r="AF6" i="3" a="1"/>
  <c r="AF6" i="3" s="1"/>
  <c r="AG6" i="3" a="1"/>
  <c r="AG6" i="3" s="1"/>
  <c r="A7" i="3"/>
  <c r="T7" i="3" a="1"/>
  <c r="T7" i="3" s="1"/>
  <c r="U7" i="3" a="1"/>
  <c r="U7" i="3" s="1"/>
  <c r="V7" i="3" a="1"/>
  <c r="V7" i="3" s="1"/>
  <c r="W7" i="3" a="1"/>
  <c r="W7" i="3" s="1"/>
  <c r="X7" i="3" a="1"/>
  <c r="X7" i="3" s="1"/>
  <c r="Y7" i="3" a="1"/>
  <c r="Y7" i="3" s="1"/>
  <c r="Z7" i="3" a="1"/>
  <c r="Z7" i="3" s="1"/>
  <c r="AA7" i="3" a="1"/>
  <c r="AA7" i="3" s="1"/>
  <c r="AB7" i="3" a="1"/>
  <c r="AB7" i="3" s="1"/>
  <c r="AC7" i="3" a="1"/>
  <c r="AC7" i="3" s="1"/>
  <c r="AD7" i="3" a="1"/>
  <c r="AD7" i="3" s="1"/>
  <c r="AE7" i="3" a="1"/>
  <c r="AE7" i="3" s="1"/>
  <c r="AF7" i="3" a="1"/>
  <c r="AF7" i="3" s="1"/>
  <c r="AG7" i="3" a="1"/>
  <c r="AG7" i="3" s="1"/>
  <c r="A8" i="3"/>
  <c r="T8" i="3" a="1"/>
  <c r="T8" i="3" s="1"/>
  <c r="U8" i="3" a="1"/>
  <c r="U8" i="3" s="1"/>
  <c r="V8" i="3" a="1"/>
  <c r="V8" i="3" s="1"/>
  <c r="W8" i="3" a="1"/>
  <c r="W8" i="3" s="1"/>
  <c r="X8" i="3" a="1"/>
  <c r="X8" i="3" s="1"/>
  <c r="Y8" i="3" a="1"/>
  <c r="Y8" i="3" s="1"/>
  <c r="Z8" i="3" a="1"/>
  <c r="Z8" i="3" s="1"/>
  <c r="AA8" i="3" a="1"/>
  <c r="AA8" i="3" s="1"/>
  <c r="AB8" i="3" a="1"/>
  <c r="AB8" i="3" s="1"/>
  <c r="AC8" i="3" a="1"/>
  <c r="AC8" i="3" s="1"/>
  <c r="AD8" i="3" a="1"/>
  <c r="AD8" i="3" s="1"/>
  <c r="AE8" i="3" a="1"/>
  <c r="AE8" i="3" s="1"/>
  <c r="AF8" i="3" a="1"/>
  <c r="AF8" i="3" s="1"/>
  <c r="AG8" i="3" a="1"/>
  <c r="AG8" i="3" s="1"/>
  <c r="A9" i="3"/>
  <c r="T9" i="3" a="1"/>
  <c r="T9" i="3" s="1"/>
  <c r="U9" i="3" a="1"/>
  <c r="U9" i="3" s="1"/>
  <c r="V9" i="3" a="1"/>
  <c r="V9" i="3" s="1"/>
  <c r="W9" i="3" a="1"/>
  <c r="W9" i="3" s="1"/>
  <c r="X9" i="3" a="1"/>
  <c r="X9" i="3" s="1"/>
  <c r="Y9" i="3" a="1"/>
  <c r="Y9" i="3" s="1"/>
  <c r="Z9" i="3" a="1"/>
  <c r="Z9" i="3" s="1"/>
  <c r="AA9" i="3" a="1"/>
  <c r="AA9" i="3" s="1"/>
  <c r="AB9" i="3" a="1"/>
  <c r="AB9" i="3" s="1"/>
  <c r="AC9" i="3" a="1"/>
  <c r="AC9" i="3" s="1"/>
  <c r="AD9" i="3" a="1"/>
  <c r="AD9" i="3" s="1"/>
  <c r="AE9" i="3" a="1"/>
  <c r="AE9" i="3" s="1"/>
  <c r="AF9" i="3" a="1"/>
  <c r="AF9" i="3" s="1"/>
  <c r="AG9" i="3" a="1"/>
  <c r="AG9" i="3" s="1"/>
  <c r="A10" i="3"/>
  <c r="T10" i="3" a="1"/>
  <c r="T10" i="3" s="1"/>
  <c r="U10" i="3" a="1"/>
  <c r="U10" i="3" s="1"/>
  <c r="V10" i="3" a="1"/>
  <c r="V10" i="3" s="1"/>
  <c r="W10" i="3" a="1"/>
  <c r="W10" i="3" s="1"/>
  <c r="A11" i="3"/>
  <c r="T11" i="3" a="1"/>
  <c r="T11" i="3" s="1"/>
  <c r="U11" i="3" a="1"/>
  <c r="U11" i="3" s="1"/>
  <c r="V11" i="3" a="1"/>
  <c r="V11" i="3" s="1"/>
  <c r="A12" i="3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Y12" i="3" a="1"/>
  <c r="Y12" i="3" s="1"/>
  <c r="Z12" i="3" a="1"/>
  <c r="Z12" i="3" s="1"/>
  <c r="AA12" i="3" a="1"/>
  <c r="AA12" i="3" s="1"/>
  <c r="AB12" i="3" a="1"/>
  <c r="AB12" i="3" s="1"/>
  <c r="AC12" i="3" a="1"/>
  <c r="AC12" i="3" s="1"/>
  <c r="AD12" i="3" a="1"/>
  <c r="AD12" i="3" s="1"/>
  <c r="AE12" i="3" a="1"/>
  <c r="AE12" i="3" s="1"/>
  <c r="AF12" i="3" a="1"/>
  <c r="AF12" i="3" s="1"/>
  <c r="AG12" i="3" a="1"/>
  <c r="AG12" i="3" s="1"/>
  <c r="A13" i="3"/>
  <c r="T13" i="3" a="1"/>
  <c r="T13" i="3" s="1"/>
  <c r="U13" i="3" a="1"/>
  <c r="U13" i="3" s="1"/>
  <c r="V13" i="3" a="1"/>
  <c r="V13" i="3" s="1"/>
  <c r="W13" i="3" a="1"/>
  <c r="W13" i="3" s="1"/>
  <c r="X13" i="3" a="1"/>
  <c r="X13" i="3" s="1"/>
  <c r="Y13" i="3" a="1"/>
  <c r="Y13" i="3" s="1"/>
  <c r="Z13" i="3" a="1"/>
  <c r="Z13" i="3" s="1"/>
  <c r="AA13" i="3" a="1"/>
  <c r="AA13" i="3" s="1"/>
  <c r="AB13" i="3" a="1"/>
  <c r="AB13" i="3" s="1"/>
  <c r="AC13" i="3" a="1"/>
  <c r="AC13" i="3" s="1"/>
  <c r="AD13" i="3" a="1"/>
  <c r="AD13" i="3" s="1"/>
  <c r="AE13" i="3" a="1"/>
  <c r="AE13" i="3" s="1"/>
  <c r="AF13" i="3" a="1"/>
  <c r="AF13" i="3" s="1"/>
  <c r="AG13" i="3" a="1"/>
  <c r="AG13" i="3" s="1"/>
  <c r="A14" i="3"/>
  <c r="T14" i="3" a="1"/>
  <c r="T14" i="3" s="1"/>
  <c r="U14" i="3" a="1"/>
  <c r="U14" i="3" s="1"/>
  <c r="V14" i="3" a="1"/>
  <c r="V14" i="3" s="1"/>
  <c r="W14" i="3" a="1"/>
  <c r="W14" i="3" s="1"/>
  <c r="X14" i="3" a="1"/>
  <c r="X14" i="3" s="1"/>
  <c r="Y14" i="3" a="1"/>
  <c r="Y14" i="3" s="1"/>
  <c r="Z14" i="3" a="1"/>
  <c r="Z14" i="3" s="1"/>
  <c r="AA14" i="3" a="1"/>
  <c r="AA14" i="3" s="1"/>
  <c r="AB14" i="3" a="1"/>
  <c r="AB14" i="3" s="1"/>
  <c r="AC14" i="3" a="1"/>
  <c r="AC14" i="3" s="1"/>
  <c r="AD14" i="3" a="1"/>
  <c r="AD14" i="3" s="1"/>
  <c r="AE14" i="3" a="1"/>
  <c r="AE14" i="3" s="1"/>
  <c r="AF14" i="3" a="1"/>
  <c r="AF14" i="3" s="1"/>
  <c r="AG14" i="3" a="1"/>
  <c r="AG14" i="3" s="1"/>
  <c r="A15" i="3"/>
  <c r="A16" i="3"/>
  <c r="T16" i="3" a="1"/>
  <c r="T16" i="3" s="1"/>
  <c r="U16" i="3" a="1"/>
  <c r="U16" i="3" s="1"/>
  <c r="V16" i="3" a="1"/>
  <c r="V16" i="3" s="1"/>
  <c r="W16" i="3" a="1"/>
  <c r="W16" i="3" s="1"/>
  <c r="X16" i="3" a="1"/>
  <c r="X16" i="3" s="1"/>
  <c r="Y16" i="3" a="1"/>
  <c r="Y16" i="3" s="1"/>
  <c r="Z16" i="3" a="1"/>
  <c r="Z16" i="3" s="1"/>
  <c r="AA16" i="3" a="1"/>
  <c r="AA16" i="3" s="1"/>
  <c r="AB16" i="3" a="1"/>
  <c r="AB16" i="3" s="1"/>
  <c r="AC16" i="3" a="1"/>
  <c r="AC16" i="3" s="1"/>
  <c r="AD16" i="3" a="1"/>
  <c r="AD16" i="3" s="1"/>
  <c r="AE16" i="3" a="1"/>
  <c r="AE16" i="3" s="1"/>
  <c r="AF16" i="3" a="1"/>
  <c r="AF16" i="3" s="1"/>
  <c r="AG16" i="3" a="1"/>
  <c r="AG16" i="3" s="1"/>
  <c r="A17" i="3"/>
  <c r="T17" i="3" a="1"/>
  <c r="T17" i="3" s="1"/>
  <c r="U17" i="3" a="1"/>
  <c r="U17" i="3" s="1"/>
  <c r="A18" i="3"/>
  <c r="T18" i="3" a="1"/>
  <c r="T18" i="3"/>
  <c r="U18" i="3" a="1"/>
  <c r="U18" i="3"/>
  <c r="V18" i="3" a="1"/>
  <c r="V18" i="3" s="1"/>
  <c r="W18" i="3" a="1"/>
  <c r="W18" i="3" s="1"/>
  <c r="X18" i="3" a="1"/>
  <c r="X18" i="3" s="1"/>
  <c r="Y18" i="3" a="1"/>
  <c r="Y18" i="3" s="1"/>
  <c r="Z18" i="3" a="1"/>
  <c r="Z18" i="3" s="1"/>
  <c r="AA18" i="3" a="1"/>
  <c r="AA18" i="3" s="1"/>
  <c r="AB18" i="3" a="1"/>
  <c r="AB18" i="3" s="1"/>
  <c r="AC18" i="3" a="1"/>
  <c r="AC18" i="3" s="1"/>
  <c r="AD18" i="3" a="1"/>
  <c r="AD18" i="3" s="1"/>
  <c r="AE18" i="3" a="1"/>
  <c r="AE18" i="3" s="1"/>
  <c r="AF18" i="3" a="1"/>
  <c r="AF18" i="3" s="1"/>
  <c r="AG18" i="3" a="1"/>
  <c r="AG18" i="3" s="1"/>
  <c r="A19" i="3"/>
  <c r="T19" i="3" a="1"/>
  <c r="T19" i="3" s="1"/>
  <c r="U19" i="3" a="1"/>
  <c r="U19" i="3" s="1"/>
  <c r="V19" i="3" a="1"/>
  <c r="V19" i="3" s="1"/>
  <c r="W19" i="3" a="1"/>
  <c r="W19" i="3" s="1"/>
  <c r="X19" i="3" a="1"/>
  <c r="X19" i="3" s="1"/>
  <c r="Y19" i="3" a="1"/>
  <c r="Y19" i="3" s="1"/>
  <c r="Z19" i="3" a="1"/>
  <c r="Z19" i="3" s="1"/>
  <c r="AA19" i="3" a="1"/>
  <c r="AA19" i="3" s="1"/>
  <c r="AB19" i="3" a="1"/>
  <c r="AB19" i="3" s="1"/>
  <c r="AC19" i="3" a="1"/>
  <c r="AC19" i="3" s="1"/>
  <c r="AD19" i="3" a="1"/>
  <c r="AD19" i="3" s="1"/>
  <c r="AE19" i="3" a="1"/>
  <c r="AE19" i="3" s="1"/>
  <c r="AF19" i="3" a="1"/>
  <c r="AF19" i="3" s="1"/>
  <c r="AG19" i="3" a="1"/>
  <c r="AG19" i="3" s="1"/>
  <c r="A20" i="3"/>
  <c r="A21" i="3"/>
  <c r="T21" i="3" a="1"/>
  <c r="T21" i="3" s="1"/>
  <c r="U21" i="3" a="1"/>
  <c r="U21" i="3" s="1"/>
  <c r="V21" i="3" a="1"/>
  <c r="V21" i="3" s="1"/>
  <c r="W21" i="3" a="1"/>
  <c r="W21" i="3" s="1"/>
  <c r="X21" i="3" a="1"/>
  <c r="X21" i="3" s="1"/>
  <c r="Y21" i="3" a="1"/>
  <c r="Y21" i="3" s="1"/>
  <c r="Z21" i="3" a="1"/>
  <c r="Z21" i="3" s="1"/>
  <c r="AA21" i="3" a="1"/>
  <c r="AA21" i="3" s="1"/>
  <c r="AB21" i="3" a="1"/>
  <c r="AB21" i="3" s="1"/>
  <c r="AC21" i="3" a="1"/>
  <c r="AC21" i="3" s="1"/>
  <c r="AD21" i="3" a="1"/>
  <c r="AD21" i="3" s="1"/>
  <c r="AE21" i="3" a="1"/>
  <c r="AE21" i="3" s="1"/>
  <c r="AF21" i="3" a="1"/>
  <c r="AF21" i="3" s="1"/>
  <c r="AG21" i="3" a="1"/>
  <c r="AG21" i="3" s="1"/>
  <c r="A22" i="3"/>
  <c r="T22" i="3" a="1"/>
  <c r="T22" i="3" s="1"/>
  <c r="U22" i="3" a="1"/>
  <c r="U22" i="3" s="1"/>
  <c r="V22" i="3" a="1"/>
  <c r="V22" i="3" s="1"/>
  <c r="W22" i="3" a="1"/>
  <c r="W22" i="3" s="1"/>
  <c r="X22" i="3" a="1"/>
  <c r="X22" i="3" s="1"/>
  <c r="Y22" i="3" a="1"/>
  <c r="Y22" i="3" s="1"/>
  <c r="Z22" i="3" a="1"/>
  <c r="Z22" i="3" s="1"/>
  <c r="AA22" i="3" a="1"/>
  <c r="AA22" i="3" s="1"/>
  <c r="AB22" i="3" a="1"/>
  <c r="AB22" i="3" s="1"/>
  <c r="AC22" i="3" a="1"/>
  <c r="AC22" i="3" s="1"/>
  <c r="AD22" i="3" a="1"/>
  <c r="AD22" i="3" s="1"/>
  <c r="AE22" i="3" a="1"/>
  <c r="AE22" i="3" s="1"/>
  <c r="AF22" i="3" a="1"/>
  <c r="AF22" i="3" s="1"/>
  <c r="AG22" i="3" a="1"/>
  <c r="AG22" i="3" s="1"/>
  <c r="A23" i="3"/>
  <c r="T23" i="3" a="1"/>
  <c r="T23" i="3" s="1"/>
  <c r="U23" i="3" a="1"/>
  <c r="U23" i="3" s="1"/>
  <c r="V23" i="3" a="1"/>
  <c r="V23" i="3" s="1"/>
  <c r="A24" i="3"/>
  <c r="T24" i="3" a="1"/>
  <c r="T24" i="3" s="1"/>
  <c r="U24" i="3" a="1"/>
  <c r="U24" i="3" s="1"/>
  <c r="V24" i="3" a="1"/>
  <c r="V24" i="3" s="1"/>
  <c r="W24" i="3" a="1"/>
  <c r="W24" i="3" s="1"/>
  <c r="X24" i="3" a="1"/>
  <c r="X24" i="3" s="1"/>
  <c r="Y24" i="3" a="1"/>
  <c r="Y24" i="3" s="1"/>
  <c r="Z24" i="3" a="1"/>
  <c r="Z24" i="3" s="1"/>
  <c r="AA24" i="3" a="1"/>
  <c r="AA24" i="3" s="1"/>
  <c r="AB24" i="3" a="1"/>
  <c r="AB24" i="3" s="1"/>
  <c r="AC24" i="3" a="1"/>
  <c r="AC24" i="3" s="1"/>
  <c r="AD24" i="3" a="1"/>
  <c r="AD24" i="3" s="1"/>
  <c r="AE24" i="3" a="1"/>
  <c r="AE24" i="3" s="1"/>
  <c r="AF24" i="3" a="1"/>
  <c r="AF24" i="3" s="1"/>
  <c r="AG24" i="3" a="1"/>
  <c r="AG24" i="3" s="1"/>
  <c r="A25" i="3"/>
  <c r="A26" i="3"/>
  <c r="T26" i="3" a="1"/>
  <c r="T26" i="3" s="1"/>
  <c r="U26" i="3" a="1"/>
  <c r="U26" i="3" s="1"/>
  <c r="V26" i="3" a="1"/>
  <c r="V26" i="3" s="1"/>
  <c r="W26" i="3" a="1"/>
  <c r="W26" i="3" s="1"/>
  <c r="X26" i="3" a="1"/>
  <c r="X26" i="3" s="1"/>
  <c r="Y26" i="3" a="1"/>
  <c r="Y26" i="3" s="1"/>
  <c r="Z26" i="3" a="1"/>
  <c r="Z26" i="3" s="1"/>
  <c r="AA26" i="3" a="1"/>
  <c r="AA26" i="3" s="1"/>
  <c r="AB26" i="3" a="1"/>
  <c r="AB26" i="3" s="1"/>
  <c r="AC26" i="3" a="1"/>
  <c r="AC26" i="3" s="1"/>
  <c r="AD26" i="3" a="1"/>
  <c r="AD26" i="3" s="1"/>
  <c r="AE26" i="3" a="1"/>
  <c r="AE26" i="3" s="1"/>
  <c r="AF26" i="3" a="1"/>
  <c r="AF26" i="3" s="1"/>
  <c r="AG26" i="3" a="1"/>
  <c r="AG26" i="3" s="1"/>
  <c r="A27" i="3"/>
  <c r="T27" i="3" a="1"/>
  <c r="T27" i="3" s="1"/>
  <c r="U27" i="3" a="1"/>
  <c r="U27" i="3" s="1"/>
  <c r="V27" i="3" a="1"/>
  <c r="V27" i="3" s="1"/>
  <c r="W27" i="3" a="1"/>
  <c r="W27" i="3" s="1"/>
  <c r="X27" i="3" a="1"/>
  <c r="X27" i="3" s="1"/>
  <c r="Y27" i="3" a="1"/>
  <c r="Y27" i="3" s="1"/>
  <c r="Z27" i="3" a="1"/>
  <c r="Z27" i="3" s="1"/>
  <c r="AA27" i="3" a="1"/>
  <c r="AA27" i="3" s="1"/>
  <c r="AB27" i="3" a="1"/>
  <c r="AB27" i="3" s="1"/>
  <c r="AC27" i="3" a="1"/>
  <c r="AC27" i="3" s="1"/>
  <c r="AD27" i="3" a="1"/>
  <c r="AD27" i="3" s="1"/>
  <c r="AE27" i="3" a="1"/>
  <c r="AE27" i="3" s="1"/>
  <c r="AF27" i="3" a="1"/>
  <c r="AF27" i="3" s="1"/>
  <c r="AG27" i="3" a="1"/>
  <c r="AG27" i="3" s="1"/>
  <c r="A28" i="3"/>
  <c r="T28" i="3" a="1"/>
  <c r="T28" i="3" s="1"/>
  <c r="U28" i="3" a="1"/>
  <c r="U28" i="3" s="1"/>
  <c r="V28" i="3" a="1"/>
  <c r="V28" i="3" s="1"/>
  <c r="W28" i="3" a="1"/>
  <c r="W28" i="3" s="1"/>
  <c r="X28" i="3" a="1"/>
  <c r="X28" i="3" s="1"/>
  <c r="Y28" i="3" a="1"/>
  <c r="Y28" i="3" s="1"/>
  <c r="Z28" i="3" a="1"/>
  <c r="Z28" i="3" s="1"/>
  <c r="AA28" i="3" a="1"/>
  <c r="AA28" i="3" s="1"/>
  <c r="AB28" i="3" a="1"/>
  <c r="AB28" i="3" s="1"/>
  <c r="AC28" i="3" a="1"/>
  <c r="AC28" i="3" s="1"/>
  <c r="AD28" i="3" a="1"/>
  <c r="AD28" i="3" s="1"/>
  <c r="AE28" i="3" a="1"/>
  <c r="AE28" i="3" s="1"/>
  <c r="AF28" i="3" a="1"/>
  <c r="AF28" i="3" s="1"/>
  <c r="AG28" i="3" a="1"/>
  <c r="AG28" i="3" s="1"/>
  <c r="A29" i="3"/>
  <c r="T29" i="3" a="1"/>
  <c r="T29" i="3" s="1"/>
  <c r="U29" i="3" a="1"/>
  <c r="U29" i="3" s="1"/>
  <c r="V29" i="3" a="1"/>
  <c r="V29" i="3" s="1"/>
  <c r="W29" i="3" a="1"/>
  <c r="W29" i="3" s="1"/>
  <c r="X29" i="3" a="1"/>
  <c r="X29" i="3" s="1"/>
  <c r="A30" i="3"/>
  <c r="T30" i="3" a="1"/>
  <c r="T30" i="3" s="1"/>
  <c r="U30" i="3" a="1"/>
  <c r="U30" i="3" s="1"/>
  <c r="V30" i="3" a="1"/>
  <c r="V30" i="3" s="1"/>
  <c r="W30" i="3" a="1"/>
  <c r="W30" i="3" s="1"/>
  <c r="X30" i="3" a="1"/>
  <c r="X30" i="3" s="1"/>
  <c r="Y30" i="3" a="1"/>
  <c r="Y30" i="3" s="1"/>
  <c r="Z30" i="3" a="1"/>
  <c r="Z30" i="3" s="1"/>
  <c r="AA30" i="3" a="1"/>
  <c r="AA30" i="3" s="1"/>
  <c r="AB30" i="3" a="1"/>
  <c r="AB30" i="3" s="1"/>
  <c r="AC30" i="3" a="1"/>
  <c r="AC30" i="3" s="1"/>
  <c r="AD30" i="3" a="1"/>
  <c r="AD30" i="3" s="1"/>
  <c r="AE30" i="3" a="1"/>
  <c r="AE30" i="3" s="1"/>
  <c r="AF30" i="3" a="1"/>
  <c r="AF30" i="3" s="1"/>
  <c r="AG30" i="3" a="1"/>
  <c r="AG30" i="3" s="1"/>
  <c r="A31" i="3"/>
  <c r="T31" i="3" a="1"/>
  <c r="T31" i="3" s="1"/>
  <c r="U31" i="3" a="1"/>
  <c r="U31" i="3" s="1"/>
  <c r="V31" i="3" a="1"/>
  <c r="V31" i="3" s="1"/>
  <c r="W31" i="3" a="1"/>
  <c r="W31" i="3" s="1"/>
  <c r="X31" i="3" a="1"/>
  <c r="X31" i="3" s="1"/>
  <c r="Y31" i="3" a="1"/>
  <c r="Y31" i="3" s="1"/>
  <c r="Z31" i="3" a="1"/>
  <c r="Z31" i="3" s="1"/>
  <c r="AA31" i="3" a="1"/>
  <c r="AA31" i="3" s="1"/>
  <c r="AB31" i="3" a="1"/>
  <c r="AB31" i="3" s="1"/>
  <c r="AC31" i="3" a="1"/>
  <c r="AC31" i="3" s="1"/>
  <c r="AD31" i="3" a="1"/>
  <c r="AD31" i="3" s="1"/>
  <c r="AE31" i="3" a="1"/>
  <c r="AE31" i="3" s="1"/>
  <c r="AF31" i="3" a="1"/>
  <c r="AF31" i="3" s="1"/>
  <c r="AG31" i="3" a="1"/>
  <c r="AG31" i="3" s="1"/>
  <c r="C1" i="2" a="1"/>
  <c r="C1" i="2" s="1"/>
  <c r="D1" i="2" a="1"/>
  <c r="D1" i="2" s="1"/>
  <c r="E1" i="2" a="1"/>
  <c r="E1" i="2" s="1"/>
  <c r="F1" i="2" a="1"/>
  <c r="F1" i="2" s="1"/>
  <c r="G1" i="2" a="1"/>
  <c r="G1" i="2" s="1"/>
  <c r="J1" i="2" a="1"/>
  <c r="J1" i="2" s="1"/>
  <c r="M1" i="2" a="1"/>
  <c r="M1" i="2" s="1"/>
  <c r="R1" i="2" a="1"/>
  <c r="R1" i="2" s="1"/>
  <c r="S1" i="2" a="1"/>
  <c r="S1" i="2" s="1"/>
  <c r="T1" i="2" a="1"/>
  <c r="T1" i="2" s="1"/>
  <c r="U1" i="2" a="1"/>
  <c r="U1" i="2" s="1"/>
  <c r="V1" i="2" a="1"/>
  <c r="V1" i="2" s="1"/>
  <c r="W1" i="2" a="1"/>
  <c r="W1" i="2" s="1"/>
  <c r="X1" i="2" a="1"/>
  <c r="X1" i="2" s="1"/>
  <c r="Y1" i="2" a="1"/>
  <c r="Y1" i="2" s="1"/>
  <c r="Z1" i="2" a="1"/>
  <c r="Z1" i="2" s="1"/>
  <c r="AA1" i="2" a="1"/>
  <c r="AA1" i="2" s="1"/>
  <c r="AB1" i="2" a="1"/>
  <c r="AB1" i="2" s="1"/>
  <c r="AC1" i="2" a="1"/>
  <c r="AC1" i="2" s="1"/>
  <c r="AD1" i="2" a="1"/>
  <c r="AD1" i="2" s="1"/>
  <c r="AE1" i="2" a="1"/>
  <c r="AE1" i="2" s="1"/>
  <c r="AF1" i="2" a="1"/>
  <c r="AF1" i="2" s="1"/>
  <c r="A2" i="2" a="1"/>
  <c r="A2" i="2" s="1"/>
  <c r="A3" i="2" a="1"/>
  <c r="A3" i="2" s="1"/>
  <c r="A4" i="2" a="1"/>
  <c r="A4" i="2" s="1"/>
  <c r="A5" i="2" a="1"/>
  <c r="A5" i="2" s="1"/>
  <c r="A6" i="2" a="1"/>
  <c r="A6" i="2" s="1"/>
  <c r="A7" i="2" a="1"/>
  <c r="A7" i="2" s="1"/>
  <c r="A8" i="2" a="1"/>
  <c r="A8" i="2" s="1"/>
  <c r="A9" i="2" a="1"/>
  <c r="A9" i="2" s="1"/>
  <c r="A10" i="2" a="1"/>
  <c r="A10" i="2" s="1"/>
  <c r="A11" i="2" a="1"/>
  <c r="A11" i="2" s="1"/>
  <c r="A12" i="2" a="1"/>
  <c r="A12" i="2" s="1"/>
  <c r="A13" i="2" a="1"/>
  <c r="A13" i="2" s="1"/>
  <c r="A14" i="2" a="1"/>
  <c r="A14" i="2" s="1"/>
  <c r="A15" i="2" a="1"/>
  <c r="A15" i="2" s="1"/>
  <c r="A16" i="2" a="1"/>
  <c r="A16" i="2" s="1"/>
  <c r="A17" i="2" a="1"/>
  <c r="A17" i="2" s="1"/>
  <c r="A18" i="2" a="1"/>
  <c r="A18" i="2" s="1"/>
  <c r="A19" i="2" a="1"/>
  <c r="A19" i="2" s="1"/>
  <c r="A20" i="2" a="1"/>
  <c r="A20" i="2" s="1"/>
  <c r="A21" i="2" a="1"/>
  <c r="A21" i="2" s="1"/>
  <c r="A22" i="2" a="1"/>
  <c r="A22" i="2" s="1"/>
  <c r="A23" i="2" a="1"/>
  <c r="A23" i="2" s="1"/>
  <c r="A24" i="2" a="1"/>
  <c r="A24" i="2" s="1"/>
  <c r="A25" i="2" a="1"/>
  <c r="A25" i="2" s="1"/>
  <c r="A26" i="2" a="1"/>
  <c r="A26" i="2" s="1"/>
  <c r="A27" i="2" a="1"/>
  <c r="A27" i="2" s="1"/>
  <c r="A28" i="2" a="1"/>
  <c r="A28" i="2" s="1"/>
  <c r="A29" i="2" a="1"/>
  <c r="A29" i="2" s="1"/>
  <c r="A30" i="2" a="1"/>
  <c r="A30" i="2" s="1"/>
  <c r="A31" i="2" a="1"/>
  <c r="A31" i="2" s="1"/>
  <c r="A36" i="1"/>
  <c r="A35" i="1"/>
  <c r="A34" i="1"/>
  <c r="C34" i="1" s="1"/>
  <c r="A33" i="1"/>
  <c r="C33" i="1" s="1"/>
  <c r="A32" i="1"/>
  <c r="A31" i="1"/>
  <c r="A30" i="1"/>
  <c r="C30" i="1" s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C16" i="1" s="1"/>
  <c r="A15" i="1"/>
  <c r="A14" i="1"/>
  <c r="A13" i="1"/>
  <c r="A12" i="1"/>
  <c r="C12" i="1" s="1"/>
  <c r="A11" i="1"/>
  <c r="A10" i="1"/>
  <c r="A9" i="1"/>
  <c r="A8" i="1"/>
  <c r="A7" i="1"/>
  <c r="C36" i="1"/>
  <c r="C35" i="1"/>
  <c r="C24" i="1"/>
  <c r="C23" i="1"/>
  <c r="C22" i="1"/>
  <c r="C20" i="1"/>
  <c r="C19" i="1"/>
  <c r="C18" i="1"/>
  <c r="C13" i="1"/>
  <c r="C32" i="1"/>
  <c r="C31" i="1"/>
  <c r="C29" i="1"/>
  <c r="C28" i="1"/>
  <c r="C27" i="1"/>
  <c r="C26" i="1"/>
  <c r="C25" i="1"/>
  <c r="C21" i="1"/>
  <c r="C15" i="1"/>
  <c r="M1" i="3" l="1" a="1"/>
  <c r="M1" i="3" s="1"/>
  <c r="L1" i="2" a="1"/>
  <c r="L1" i="2" s="1"/>
  <c r="I1" i="3" a="1"/>
  <c r="I1" i="3" s="1"/>
  <c r="H1" i="2" a="1"/>
  <c r="H1" i="2" s="1"/>
  <c r="Q1" i="3" a="1"/>
  <c r="Q1" i="3" s="1"/>
  <c r="P1" i="2" a="1"/>
  <c r="P1" i="2" s="1"/>
  <c r="P1" i="3" a="1"/>
  <c r="P1" i="3" s="1"/>
  <c r="O1" i="2" a="1"/>
  <c r="O1" i="2" s="1"/>
  <c r="O1" i="3" a="1"/>
  <c r="O1" i="3" s="1"/>
  <c r="N1" i="2" a="1"/>
  <c r="N1" i="2" s="1"/>
  <c r="J1" i="3" a="1"/>
  <c r="J1" i="3" s="1"/>
  <c r="I1" i="2" a="1"/>
  <c r="I1" i="2" s="1"/>
  <c r="R1" i="3" a="1"/>
  <c r="R1" i="3" s="1"/>
  <c r="Q1" i="2" a="1"/>
  <c r="Q1" i="2" s="1"/>
  <c r="L1" i="3" a="1"/>
  <c r="L1" i="3" s="1"/>
  <c r="K1" i="2" a="1"/>
  <c r="K1" i="2" s="1"/>
  <c r="AH2" i="2" a="1"/>
  <c r="AH2" i="2" s="1"/>
  <c r="AI2" i="2"/>
  <c r="AG2" i="2"/>
  <c r="AH3" i="2" a="1"/>
  <c r="AH3" i="2" s="1"/>
  <c r="AG3" i="2"/>
  <c r="AI3" i="2"/>
  <c r="AH4" i="2" a="1"/>
  <c r="AH4" i="2" s="1"/>
  <c r="AI4" i="2"/>
  <c r="AG4" i="2"/>
  <c r="AI7" i="2"/>
  <c r="AH7" i="2" a="1"/>
  <c r="AH7" i="2" s="1"/>
  <c r="AG7" i="2"/>
  <c r="AI8" i="2"/>
  <c r="AH8" i="2" a="1"/>
  <c r="AH8" i="2" s="1"/>
  <c r="AG8" i="2"/>
  <c r="AH9" i="2" a="1"/>
  <c r="AH9" i="2" s="1"/>
  <c r="AI9" i="2"/>
  <c r="AG9" i="2"/>
  <c r="AH10" i="2" a="1"/>
  <c r="AH10" i="2" s="1"/>
  <c r="AI10" i="2"/>
  <c r="AG10" i="2"/>
  <c r="AI11" i="2"/>
  <c r="AH11" i="2" a="1"/>
  <c r="AH11" i="2" s="1"/>
  <c r="AG11" i="2"/>
  <c r="AI12" i="2"/>
  <c r="AH12" i="2" a="1"/>
  <c r="AH12" i="2" s="1"/>
  <c r="AG12" i="2"/>
  <c r="Y5" i="3" a="1"/>
  <c r="Y5" i="3" s="1"/>
  <c r="Z5" i="3" a="1"/>
  <c r="Z5" i="3" s="1"/>
  <c r="AA5" i="3" a="1"/>
  <c r="AA5" i="3" s="1"/>
  <c r="AB5" i="3" a="1"/>
  <c r="AB5" i="3" s="1"/>
  <c r="AC5" i="3" a="1"/>
  <c r="AC5" i="3" s="1"/>
  <c r="W11" i="3" a="1"/>
  <c r="W11" i="3" s="1"/>
  <c r="X11" i="3" a="1"/>
  <c r="X11" i="3" s="1"/>
  <c r="Y11" i="3" a="1"/>
  <c r="Y11" i="3" s="1"/>
  <c r="Z11" i="3" a="1"/>
  <c r="Z11" i="3" s="1"/>
  <c r="AA11" i="3" a="1"/>
  <c r="AA11" i="3" s="1"/>
  <c r="AB11" i="3" a="1"/>
  <c r="AB11" i="3" s="1"/>
  <c r="AC11" i="3" a="1"/>
  <c r="AC11" i="3" s="1"/>
  <c r="AD11" i="3" a="1"/>
  <c r="AD11" i="3" s="1"/>
  <c r="AE11" i="3" a="1"/>
  <c r="AE11" i="3" s="1"/>
  <c r="AF11" i="3" a="1"/>
  <c r="AF11" i="3" s="1"/>
  <c r="AG11" i="3" a="1"/>
  <c r="AG11" i="3" s="1"/>
  <c r="V17" i="3" a="1"/>
  <c r="V17" i="3" s="1"/>
  <c r="W17" i="3" a="1"/>
  <c r="W17" i="3" s="1"/>
  <c r="X17" i="3" a="1"/>
  <c r="X17" i="3" s="1"/>
  <c r="Y17" i="3" a="1"/>
  <c r="Y17" i="3" s="1"/>
  <c r="Z17" i="3" a="1"/>
  <c r="Z17" i="3" s="1"/>
  <c r="AA17" i="3" a="1"/>
  <c r="AA17" i="3" s="1"/>
  <c r="AB17" i="3" a="1"/>
  <c r="AB17" i="3" s="1"/>
  <c r="AC17" i="3" a="1"/>
  <c r="AC17" i="3" s="1"/>
  <c r="AD17" i="3" a="1"/>
  <c r="AD17" i="3" s="1"/>
  <c r="AE17" i="3" a="1"/>
  <c r="AE17" i="3" s="1"/>
  <c r="AF17" i="3" a="1"/>
  <c r="AF17" i="3" s="1"/>
  <c r="AG17" i="3" a="1"/>
  <c r="AG17" i="3" s="1"/>
  <c r="W23" i="3" a="1"/>
  <c r="W23" i="3" s="1"/>
  <c r="X23" i="3" a="1"/>
  <c r="X23" i="3" s="1"/>
  <c r="Y23" i="3" a="1"/>
  <c r="Y23" i="3" s="1"/>
  <c r="Z23" i="3" a="1"/>
  <c r="Z23" i="3" s="1"/>
  <c r="AA23" i="3" a="1"/>
  <c r="AA23" i="3" s="1"/>
  <c r="AB23" i="3" a="1"/>
  <c r="AB23" i="3" s="1"/>
  <c r="AC23" i="3" a="1"/>
  <c r="AC23" i="3" s="1"/>
  <c r="AD23" i="3" a="1"/>
  <c r="AD23" i="3" s="1"/>
  <c r="AE23" i="3" a="1"/>
  <c r="AE23" i="3" s="1"/>
  <c r="AF23" i="3" a="1"/>
  <c r="AF23" i="3" s="1"/>
  <c r="AG23" i="3" a="1"/>
  <c r="AG23" i="3" s="1"/>
  <c r="Y29" i="3" a="1"/>
  <c r="Y29" i="3" s="1"/>
  <c r="Z29" i="3" a="1"/>
  <c r="Z29" i="3" s="1"/>
  <c r="AA29" i="3" a="1"/>
  <c r="AA29" i="3" s="1"/>
  <c r="AB29" i="3" a="1"/>
  <c r="AB29" i="3" s="1"/>
  <c r="AC29" i="3" a="1"/>
  <c r="AC29" i="3" s="1"/>
  <c r="AD29" i="3" a="1"/>
  <c r="AD29" i="3" s="1"/>
  <c r="AE29" i="3" a="1"/>
  <c r="AE29" i="3" s="1"/>
  <c r="AI5" i="2"/>
  <c r="AH5" i="2" a="1"/>
  <c r="AH5" i="2" s="1"/>
  <c r="AG5" i="2"/>
  <c r="AI6" i="2"/>
  <c r="AH6" i="2" a="1"/>
  <c r="AH6" i="2" s="1"/>
  <c r="AG6" i="2"/>
  <c r="AI13" i="2"/>
  <c r="AH13" i="2" a="1"/>
  <c r="AH13" i="2" s="1"/>
  <c r="AG13" i="2"/>
  <c r="AI14" i="2"/>
  <c r="AH14" i="2" a="1"/>
  <c r="AH14" i="2" s="1"/>
  <c r="AG14" i="2"/>
  <c r="AH15" i="2" a="1"/>
  <c r="AH15" i="2" s="1"/>
  <c r="AG15" i="2"/>
  <c r="AI15" i="2"/>
  <c r="AI16" i="2"/>
  <c r="AH16" i="2" a="1"/>
  <c r="AH16" i="2" s="1"/>
  <c r="AG16" i="2"/>
  <c r="AI17" i="2"/>
  <c r="AH17" i="2" a="1"/>
  <c r="AH17" i="2" s="1"/>
  <c r="AG17" i="2"/>
  <c r="AI18" i="2"/>
  <c r="AH18" i="2" a="1"/>
  <c r="AH18" i="2" s="1"/>
  <c r="AG18" i="2"/>
  <c r="AI19" i="2"/>
  <c r="AH19" i="2" a="1"/>
  <c r="AH19" i="2" s="1"/>
  <c r="AG19" i="2"/>
  <c r="AH20" i="2" a="1"/>
  <c r="AH20" i="2" s="1"/>
  <c r="AI20" i="2"/>
  <c r="AG20" i="2"/>
  <c r="AI21" i="2"/>
  <c r="AH21" i="2" a="1"/>
  <c r="AH21" i="2" s="1"/>
  <c r="AG21" i="2"/>
  <c r="AI22" i="2"/>
  <c r="AH22" i="2" a="1"/>
  <c r="AH22" i="2" s="1"/>
  <c r="AG22" i="2"/>
  <c r="AI23" i="2"/>
  <c r="AH23" i="2" a="1"/>
  <c r="AH23" i="2" s="1"/>
  <c r="AG23" i="2"/>
  <c r="AI24" i="2"/>
  <c r="AH24" i="2" a="1"/>
  <c r="AH24" i="2" s="1"/>
  <c r="AG24" i="2"/>
  <c r="AI25" i="2"/>
  <c r="AH25" i="2" a="1"/>
  <c r="AH25" i="2" s="1"/>
  <c r="AG25" i="2"/>
  <c r="AI28" i="2"/>
  <c r="AH28" i="2" a="1"/>
  <c r="AH28" i="2" s="1"/>
  <c r="AG28" i="2"/>
  <c r="AI29" i="2"/>
  <c r="AH29" i="2" a="1"/>
  <c r="AH29" i="2" s="1"/>
  <c r="AG29" i="2"/>
  <c r="AI30" i="2"/>
  <c r="AH30" i="2" a="1"/>
  <c r="AH30" i="2" s="1"/>
  <c r="AG30" i="2"/>
  <c r="AI31" i="2"/>
  <c r="AH31" i="2" a="1"/>
  <c r="AH31" i="2" s="1"/>
  <c r="AG31" i="2"/>
  <c r="AD5" i="3" a="1"/>
  <c r="AD5" i="3" s="1"/>
  <c r="AE5" i="3" a="1"/>
  <c r="AE5" i="3" s="1"/>
  <c r="AF5" i="3" a="1"/>
  <c r="AF5" i="3" s="1"/>
  <c r="AG5" i="3" a="1"/>
  <c r="AG5" i="3" s="1"/>
  <c r="Z10" i="3" a="1"/>
  <c r="Z10" i="3" s="1"/>
  <c r="AA10" i="3" a="1"/>
  <c r="AA10" i="3" s="1"/>
  <c r="AB10" i="3" a="1"/>
  <c r="AB10" i="3" s="1"/>
  <c r="X10" i="3" a="1"/>
  <c r="X10" i="3" s="1"/>
  <c r="AG10" i="3" a="1"/>
  <c r="AG10" i="3" s="1"/>
  <c r="AF10" i="3" a="1"/>
  <c r="AF10" i="3" s="1"/>
  <c r="AE10" i="3" a="1"/>
  <c r="AE10" i="3" s="1"/>
  <c r="AD10" i="3" a="1"/>
  <c r="AD10" i="3" s="1"/>
  <c r="Y10" i="3" a="1"/>
  <c r="Y10" i="3" s="1"/>
  <c r="AC10" i="3" a="1"/>
  <c r="AC10" i="3" s="1"/>
  <c r="V15" i="3" a="1"/>
  <c r="V15" i="3" s="1"/>
  <c r="W15" i="3" a="1"/>
  <c r="W15" i="3" s="1"/>
  <c r="X15" i="3" a="1"/>
  <c r="X15" i="3" s="1"/>
  <c r="Y15" i="3" a="1"/>
  <c r="Y15" i="3" s="1"/>
  <c r="Z15" i="3" a="1"/>
  <c r="Z15" i="3" s="1"/>
  <c r="AB15" i="3" a="1"/>
  <c r="AB15" i="3" s="1"/>
  <c r="AC15" i="3" a="1"/>
  <c r="AC15" i="3" s="1"/>
  <c r="AD15" i="3" a="1"/>
  <c r="AD15" i="3" s="1"/>
  <c r="AE15" i="3" a="1"/>
  <c r="AE15" i="3" s="1"/>
  <c r="AF15" i="3" a="1"/>
  <c r="AF15" i="3" s="1"/>
  <c r="AG15" i="3" a="1"/>
  <c r="AG15" i="3" s="1"/>
  <c r="AA15" i="3" a="1"/>
  <c r="AA15" i="3" s="1"/>
  <c r="T15" i="3" a="1"/>
  <c r="T15" i="3" s="1"/>
  <c r="U15" i="3" a="1"/>
  <c r="U15" i="3" s="1"/>
  <c r="AB20" i="3" a="1"/>
  <c r="AB20" i="3" s="1"/>
  <c r="AA20" i="3" a="1"/>
  <c r="AA20" i="3" s="1"/>
  <c r="Z20" i="3" a="1"/>
  <c r="Z20" i="3" s="1"/>
  <c r="Y20" i="3" a="1"/>
  <c r="Y20" i="3" s="1"/>
  <c r="U20" i="3" a="1"/>
  <c r="U20" i="3" s="1"/>
  <c r="W20" i="3" a="1"/>
  <c r="W20" i="3" s="1"/>
  <c r="V20" i="3" a="1"/>
  <c r="V20" i="3" s="1"/>
  <c r="T20" i="3" a="1"/>
  <c r="T20" i="3" s="1"/>
  <c r="AG20" i="3" a="1"/>
  <c r="AG20" i="3" s="1"/>
  <c r="AF20" i="3" a="1"/>
  <c r="AF20" i="3" s="1"/>
  <c r="AE20" i="3" a="1"/>
  <c r="AE20" i="3" s="1"/>
  <c r="AD20" i="3" a="1"/>
  <c r="AD20" i="3" s="1"/>
  <c r="AC20" i="3" a="1"/>
  <c r="AC20" i="3" s="1"/>
  <c r="X20" i="3" a="1"/>
  <c r="X20" i="3" s="1"/>
  <c r="T25" i="3" a="1"/>
  <c r="T25" i="3" s="1"/>
  <c r="U25" i="3" a="1"/>
  <c r="U25" i="3" s="1"/>
  <c r="V25" i="3" a="1"/>
  <c r="V25" i="3" s="1"/>
  <c r="W25" i="3" a="1"/>
  <c r="W25" i="3" s="1"/>
  <c r="X25" i="3" a="1"/>
  <c r="X25" i="3" s="1"/>
  <c r="Y25" i="3" a="1"/>
  <c r="Y25" i="3" s="1"/>
  <c r="Z25" i="3" a="1"/>
  <c r="Z25" i="3" s="1"/>
  <c r="AA25" i="3" a="1"/>
  <c r="AA25" i="3" s="1"/>
  <c r="AB25" i="3" a="1"/>
  <c r="AB25" i="3" s="1"/>
  <c r="AC25" i="3" a="1"/>
  <c r="AC25" i="3" s="1"/>
  <c r="AD25" i="3" a="1"/>
  <c r="AD25" i="3" s="1"/>
  <c r="AE25" i="3" a="1"/>
  <c r="AE25" i="3" s="1"/>
  <c r="AF25" i="3" a="1"/>
  <c r="AF25" i="3" s="1"/>
  <c r="AG25" i="3" a="1"/>
  <c r="AG25" i="3" s="1"/>
  <c r="AF29" i="3" a="1"/>
  <c r="AF29" i="3" s="1"/>
  <c r="AG29" i="3" a="1"/>
  <c r="AG29" i="3" s="1"/>
  <c r="AI26" i="2"/>
  <c r="AH26" i="2" a="1"/>
  <c r="AH26" i="2" s="1"/>
  <c r="AG26" i="2"/>
  <c r="AI27" i="2"/>
  <c r="AH27" i="2" a="1"/>
  <c r="AH27" i="2" s="1"/>
  <c r="AG27" i="2"/>
  <c r="S20" i="3" l="1" a="1"/>
  <c r="S20" i="3" s="1"/>
  <c r="S22" i="3" a="1"/>
  <c r="S22" i="3" s="1"/>
  <c r="S15" i="3" a="1"/>
  <c r="S15" i="3" s="1"/>
  <c r="S25" i="3" a="1"/>
  <c r="S25" i="3" s="1"/>
  <c r="S3" i="3" a="1"/>
  <c r="S3" i="3" s="1"/>
  <c r="S4" i="3" a="1"/>
  <c r="S4" i="3" s="1"/>
  <c r="S5" i="3" a="1"/>
  <c r="S5" i="3" s="1"/>
  <c r="S6" i="3" a="1"/>
  <c r="S6" i="3" s="1"/>
  <c r="S7" i="3" a="1"/>
  <c r="S7" i="3" s="1"/>
  <c r="S8" i="3" a="1"/>
  <c r="S8" i="3" s="1"/>
  <c r="S10" i="3" a="1"/>
  <c r="S10" i="3" s="1"/>
  <c r="S11" i="3" a="1"/>
  <c r="S11" i="3" s="1"/>
  <c r="S14" i="3" a="1"/>
  <c r="S14" i="3" s="1"/>
  <c r="S9" i="3" a="1"/>
  <c r="S9" i="3" s="1"/>
  <c r="S12" i="3" a="1"/>
  <c r="S12" i="3" s="1"/>
  <c r="S13" i="3" a="1"/>
  <c r="S13" i="3" s="1"/>
  <c r="S16" i="3" a="1"/>
  <c r="S16" i="3" s="1"/>
  <c r="S17" i="3" a="1"/>
  <c r="S17" i="3" s="1"/>
  <c r="S18" i="3" a="1"/>
  <c r="S18" i="3" s="1"/>
  <c r="S19" i="3" a="1"/>
  <c r="S19" i="3" s="1"/>
  <c r="S21" i="3" a="1"/>
  <c r="S21" i="3" s="1"/>
  <c r="S2" i="3" a="1"/>
  <c r="S2" i="3" s="1"/>
  <c r="S23" i="3" a="1"/>
  <c r="S23" i="3" s="1"/>
  <c r="S24" i="3" a="1"/>
  <c r="S24" i="3" s="1"/>
  <c r="S26" i="3" a="1"/>
  <c r="S26" i="3" s="1"/>
  <c r="S27" i="3" a="1"/>
  <c r="S27" i="3" s="1"/>
  <c r="S28" i="3" a="1"/>
  <c r="S28" i="3" s="1"/>
  <c r="S29" i="3" a="1"/>
  <c r="S29" i="3" s="1"/>
  <c r="S30" i="3" a="1"/>
  <c r="S30" i="3" s="1"/>
  <c r="S31" i="3" a="1"/>
  <c r="S31" i="3" s="1"/>
  <c r="Q4" i="3" a="1"/>
  <c r="Q4" i="3" s="1"/>
  <c r="Q27" i="3" a="1"/>
  <c r="Q27" i="3" s="1"/>
  <c r="R27" i="3" a="1"/>
  <c r="R27" i="3" s="1"/>
  <c r="Q28" i="3" a="1"/>
  <c r="Q28" i="3" s="1"/>
  <c r="R28" i="3" a="1"/>
  <c r="R28" i="3" s="1"/>
  <c r="P29" i="3" a="1"/>
  <c r="P29" i="3" s="1"/>
  <c r="Q29" i="3" a="1"/>
  <c r="Q29" i="3" s="1"/>
  <c r="R29" i="3" a="1"/>
  <c r="R29" i="3" s="1"/>
  <c r="P30" i="3" a="1"/>
  <c r="P30" i="3" s="1"/>
  <c r="Q30" i="3" a="1"/>
  <c r="Q30" i="3" s="1"/>
  <c r="P4" i="3" a="1"/>
  <c r="P4" i="3" s="1"/>
  <c r="P13" i="3" a="1"/>
  <c r="P13" i="3" s="1"/>
  <c r="R30" i="3" a="1"/>
  <c r="R30" i="3" s="1"/>
  <c r="R15" i="3" a="1"/>
  <c r="R15" i="3" s="1"/>
  <c r="P31" i="3" a="1"/>
  <c r="P31" i="3" s="1"/>
  <c r="Q31" i="3" a="1"/>
  <c r="Q31" i="3" s="1"/>
  <c r="P2" i="3" a="1"/>
  <c r="P2" i="3" s="1"/>
  <c r="Q2" i="3" a="1"/>
  <c r="Q2" i="3" s="1"/>
  <c r="R2" i="3" a="1"/>
  <c r="R2" i="3" s="1"/>
  <c r="P3" i="3" a="1"/>
  <c r="P3" i="3" s="1"/>
  <c r="Q3" i="3" a="1"/>
  <c r="Q3" i="3" s="1"/>
  <c r="R3" i="3" a="1"/>
  <c r="R3" i="3" s="1"/>
  <c r="R31" i="3" a="1"/>
  <c r="R31" i="3" s="1"/>
  <c r="R4" i="3" a="1"/>
  <c r="R4" i="3" s="1"/>
  <c r="P5" i="3" a="1"/>
  <c r="P5" i="3" s="1"/>
  <c r="P7" i="3" a="1"/>
  <c r="P7" i="3" s="1"/>
  <c r="Q7" i="3" a="1"/>
  <c r="Q7" i="3" s="1"/>
  <c r="Q9" i="3" a="1"/>
  <c r="Q9" i="3" s="1"/>
  <c r="Q5" i="3" a="1"/>
  <c r="Q5" i="3" s="1"/>
  <c r="R5" i="3" a="1"/>
  <c r="R5" i="3" s="1"/>
  <c r="P6" i="3" a="1"/>
  <c r="P6" i="3" s="1"/>
  <c r="Q6" i="3" a="1"/>
  <c r="Q6" i="3" s="1"/>
  <c r="R6" i="3" a="1"/>
  <c r="R6" i="3" s="1"/>
  <c r="R7" i="3" a="1"/>
  <c r="R7" i="3" s="1"/>
  <c r="P9" i="3" a="1"/>
  <c r="P9" i="3" s="1"/>
  <c r="R9" i="3" a="1"/>
  <c r="R9" i="3" s="1"/>
  <c r="P10" i="3" a="1"/>
  <c r="P10" i="3" s="1"/>
  <c r="Q10" i="3" a="1"/>
  <c r="Q10" i="3" s="1"/>
  <c r="R10" i="3" a="1"/>
  <c r="R10" i="3" s="1"/>
  <c r="P11" i="3" a="1"/>
  <c r="P11" i="3" s="1"/>
  <c r="Q11" i="3" a="1"/>
  <c r="Q11" i="3" s="1"/>
  <c r="R11" i="3" a="1"/>
  <c r="R11" i="3" s="1"/>
  <c r="P12" i="3" a="1"/>
  <c r="P12" i="3" s="1"/>
  <c r="Q12" i="3" a="1"/>
  <c r="Q12" i="3" s="1"/>
  <c r="R12" i="3" a="1"/>
  <c r="R12" i="3" s="1"/>
  <c r="P28" i="3" a="1"/>
  <c r="P28" i="3" s="1"/>
  <c r="Q13" i="3" a="1"/>
  <c r="Q13" i="3" s="1"/>
  <c r="R13" i="3" a="1"/>
  <c r="R13" i="3" s="1"/>
  <c r="P14" i="3" a="1"/>
  <c r="P14" i="3" s="1"/>
  <c r="Q14" i="3" a="1"/>
  <c r="Q14" i="3" s="1"/>
  <c r="R14" i="3" a="1"/>
  <c r="R14" i="3" s="1"/>
  <c r="P15" i="3" a="1"/>
  <c r="P15" i="3" s="1"/>
  <c r="Q15" i="3" a="1"/>
  <c r="Q15" i="3" s="1"/>
  <c r="P16" i="3" a="1"/>
  <c r="P16" i="3" s="1"/>
  <c r="Q16" i="3" a="1"/>
  <c r="Q16" i="3" s="1"/>
  <c r="R16" i="3" a="1"/>
  <c r="R16" i="3" s="1"/>
  <c r="Q19" i="3" a="1"/>
  <c r="Q19" i="3" s="1"/>
  <c r="P21" i="3" a="1"/>
  <c r="P21" i="3" s="1"/>
  <c r="R21" i="3" a="1"/>
  <c r="R21" i="3" s="1"/>
  <c r="P17" i="3" a="1"/>
  <c r="P17" i="3" s="1"/>
  <c r="Q17" i="3" a="1"/>
  <c r="Q17" i="3" s="1"/>
  <c r="R17" i="3" a="1"/>
  <c r="R17" i="3" s="1"/>
  <c r="P18" i="3" a="1"/>
  <c r="P18" i="3" s="1"/>
  <c r="Q18" i="3" a="1"/>
  <c r="Q18" i="3" s="1"/>
  <c r="R18" i="3" a="1"/>
  <c r="R18" i="3" s="1"/>
  <c r="P19" i="3" a="1"/>
  <c r="P19" i="3" s="1"/>
  <c r="R19" i="3" a="1"/>
  <c r="R19" i="3" s="1"/>
  <c r="Q21" i="3" a="1"/>
  <c r="Q21" i="3" s="1"/>
  <c r="R23" i="3" a="1"/>
  <c r="R23" i="3" s="1"/>
  <c r="P24" i="3" a="1"/>
  <c r="P24" i="3" s="1"/>
  <c r="Q24" i="3" a="1"/>
  <c r="Q24" i="3" s="1"/>
  <c r="R24" i="3" a="1"/>
  <c r="R24" i="3" s="1"/>
  <c r="P26" i="3" a="1"/>
  <c r="P26" i="3" s="1"/>
  <c r="Q26" i="3" a="1"/>
  <c r="Q26" i="3" s="1"/>
  <c r="R26" i="3" a="1"/>
  <c r="R26" i="3" s="1"/>
  <c r="P27" i="3" a="1"/>
  <c r="P27" i="3" s="1"/>
  <c r="R20" i="3" a="1"/>
  <c r="R20" i="3" s="1"/>
  <c r="Q20" i="3" a="1"/>
  <c r="Q20" i="3" s="1"/>
  <c r="Q23" i="3" a="1"/>
  <c r="Q23" i="3" s="1"/>
  <c r="P8" i="3" a="1"/>
  <c r="P8" i="3" s="1"/>
  <c r="R8" i="3" a="1"/>
  <c r="R8" i="3" s="1"/>
  <c r="Q22" i="3" a="1"/>
  <c r="Q22" i="3" s="1"/>
  <c r="R22" i="3" a="1"/>
  <c r="R22" i="3" s="1"/>
  <c r="P22" i="3" a="1"/>
  <c r="P22" i="3" s="1"/>
  <c r="P23" i="3" a="1"/>
  <c r="P23" i="3" s="1"/>
  <c r="P20" i="3" a="1"/>
  <c r="P20" i="3" s="1"/>
  <c r="Q25" i="3" a="1"/>
  <c r="Q25" i="3" s="1"/>
  <c r="R25" i="3" a="1"/>
  <c r="R25" i="3" s="1"/>
  <c r="P25" i="3" a="1"/>
  <c r="P25" i="3" s="1"/>
  <c r="Q8" i="3" a="1"/>
  <c r="Q8" i="3" s="1"/>
  <c r="H11" i="3" a="1"/>
  <c r="H11" i="3" s="1"/>
  <c r="B16" i="3"/>
  <c r="C16" i="3"/>
  <c r="I17" i="3" a="1"/>
  <c r="I17" i="3" s="1"/>
  <c r="H17" i="3" a="1"/>
  <c r="H17" i="3" s="1"/>
  <c r="O9" i="3" a="1"/>
  <c r="O9" i="3" s="1"/>
  <c r="F10" i="3" a="1"/>
  <c r="F10" i="3" s="1"/>
  <c r="F30" i="3" a="1"/>
  <c r="F30" i="3" s="1"/>
  <c r="K30" i="3" a="1"/>
  <c r="K30" i="3" s="1"/>
  <c r="B31" i="3"/>
  <c r="E31" i="3" a="1"/>
  <c r="E31" i="3" s="1"/>
  <c r="J31" i="3" a="1"/>
  <c r="J31" i="3" s="1"/>
  <c r="O31" i="3" a="1"/>
  <c r="O31" i="3" s="1"/>
  <c r="G10" i="3" a="1"/>
  <c r="G10" i="3" s="1"/>
  <c r="H26" i="3" a="1"/>
  <c r="H26" i="3" s="1"/>
  <c r="K26" i="3" a="1"/>
  <c r="K26" i="3" s="1"/>
  <c r="I11" i="3" a="1"/>
  <c r="I11" i="3" s="1"/>
  <c r="J11" i="3" a="1"/>
  <c r="J11" i="3" s="1"/>
  <c r="K11" i="3" a="1"/>
  <c r="K11" i="3" s="1"/>
  <c r="O12" i="3" a="1"/>
  <c r="O12" i="3" s="1"/>
  <c r="B13" i="3"/>
  <c r="C13" i="3"/>
  <c r="D13" i="3" a="1"/>
  <c r="D13" i="3" s="1"/>
  <c r="E13" i="3" a="1"/>
  <c r="E13" i="3" s="1"/>
  <c r="F13" i="3" a="1"/>
  <c r="F13" i="3" s="1"/>
  <c r="G13" i="3" a="1"/>
  <c r="G13" i="3" s="1"/>
  <c r="H13" i="3" a="1"/>
  <c r="H13" i="3" s="1"/>
  <c r="D16" i="3" a="1"/>
  <c r="D16" i="3" s="1"/>
  <c r="F17" i="3" a="1"/>
  <c r="F17" i="3" s="1"/>
  <c r="I9" i="3" a="1"/>
  <c r="I9" i="3" s="1"/>
  <c r="K9" i="3" a="1"/>
  <c r="K9" i="3" s="1"/>
  <c r="M9" i="3" a="1"/>
  <c r="M9" i="3" s="1"/>
  <c r="H9" i="3" a="1"/>
  <c r="H9" i="3" s="1"/>
  <c r="L9" i="3" a="1"/>
  <c r="L9" i="3" s="1"/>
  <c r="N9" i="3" a="1"/>
  <c r="N9" i="3" s="1"/>
  <c r="G17" i="3" a="1"/>
  <c r="G17" i="3" s="1"/>
  <c r="J9" i="3" a="1"/>
  <c r="J9" i="3" s="1"/>
  <c r="G9" i="3" a="1"/>
  <c r="G9" i="3" s="1"/>
  <c r="I13" i="3" a="1"/>
  <c r="I13" i="3" s="1"/>
  <c r="J13" i="3" a="1"/>
  <c r="J13" i="3" s="1"/>
  <c r="K13" i="3" a="1"/>
  <c r="K13" i="3" s="1"/>
  <c r="J15" i="3" a="1"/>
  <c r="J15" i="3" s="1"/>
  <c r="J30" i="3" a="1"/>
  <c r="J30" i="3" s="1"/>
  <c r="O30" i="3" a="1"/>
  <c r="O30" i="3" s="1"/>
  <c r="C31" i="3"/>
  <c r="H31" i="3" a="1"/>
  <c r="H31" i="3" s="1"/>
  <c r="K31" i="3" a="1"/>
  <c r="K31" i="3" s="1"/>
  <c r="J17" i="3" a="1"/>
  <c r="J17" i="3" s="1"/>
  <c r="H8" i="3" a="1"/>
  <c r="H8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H10" i="3" a="1"/>
  <c r="H10" i="3" s="1"/>
  <c r="I10" i="3" a="1"/>
  <c r="I10" i="3" s="1"/>
  <c r="J10" i="3" a="1"/>
  <c r="J10" i="3" s="1"/>
  <c r="K10" i="3" a="1"/>
  <c r="K10" i="3" s="1"/>
  <c r="L10" i="3" a="1"/>
  <c r="L10" i="3" s="1"/>
  <c r="K15" i="3" a="1"/>
  <c r="K15" i="3" s="1"/>
  <c r="M15" i="3" a="1"/>
  <c r="M15" i="3" s="1"/>
  <c r="D26" i="3" a="1"/>
  <c r="D26" i="3" s="1"/>
  <c r="L11" i="3" a="1"/>
  <c r="L11" i="3" s="1"/>
  <c r="M11" i="3" a="1"/>
  <c r="M11" i="3" s="1"/>
  <c r="H12" i="3" a="1"/>
  <c r="H12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L15" i="3" a="1"/>
  <c r="L15" i="3" s="1"/>
  <c r="N15" i="3" a="1"/>
  <c r="N15" i="3" s="1"/>
  <c r="O15" i="3" a="1"/>
  <c r="O15" i="3" s="1"/>
  <c r="C26" i="3"/>
  <c r="F26" i="3" a="1"/>
  <c r="F26" i="3" s="1"/>
  <c r="J26" i="3" a="1"/>
  <c r="J26" i="3" s="1"/>
  <c r="N26" i="3" a="1"/>
  <c r="N26" i="3" s="1"/>
  <c r="C30" i="3"/>
  <c r="K17" i="3" a="1"/>
  <c r="K17" i="3" s="1"/>
  <c r="L17" i="3" a="1"/>
  <c r="L17" i="3" s="1"/>
  <c r="M17" i="3" a="1"/>
  <c r="M17" i="3" s="1"/>
  <c r="N17" i="3" a="1"/>
  <c r="N17" i="3" s="1"/>
  <c r="N12" i="3" a="1"/>
  <c r="N12" i="3" s="1"/>
  <c r="G30" i="3" a="1"/>
  <c r="G30" i="3" s="1"/>
  <c r="M10" i="3" a="1"/>
  <c r="M10" i="3" s="1"/>
  <c r="N10" i="3" a="1"/>
  <c r="N10" i="3" s="1"/>
  <c r="O10" i="3" a="1"/>
  <c r="O10" i="3" s="1"/>
  <c r="B11" i="3"/>
  <c r="C11" i="3"/>
  <c r="D11" i="3" a="1"/>
  <c r="D11" i="3" s="1"/>
  <c r="E11" i="3" a="1"/>
  <c r="E11" i="3" s="1"/>
  <c r="F11" i="3" a="1"/>
  <c r="F11" i="3" s="1"/>
  <c r="G11" i="3" a="1"/>
  <c r="G11" i="3" s="1"/>
  <c r="N11" i="3" a="1"/>
  <c r="N11" i="3" s="1"/>
  <c r="O11" i="3" a="1"/>
  <c r="O11" i="3" s="1"/>
  <c r="B12" i="3"/>
  <c r="C12" i="3"/>
  <c r="D12" i="3" a="1"/>
  <c r="D12" i="3" s="1"/>
  <c r="E12" i="3" a="1"/>
  <c r="E12" i="3" s="1"/>
  <c r="F12" i="3" a="1"/>
  <c r="F12" i="3" s="1"/>
  <c r="E17" i="3" a="1"/>
  <c r="E17" i="3" s="1"/>
  <c r="L13" i="3" a="1"/>
  <c r="L13" i="3" s="1"/>
  <c r="M13" i="3" a="1"/>
  <c r="M13" i="3" s="1"/>
  <c r="N13" i="3" a="1"/>
  <c r="N13" i="3" s="1"/>
  <c r="O13" i="3" a="1"/>
  <c r="O13" i="3" s="1"/>
  <c r="F15" i="3" a="1"/>
  <c r="F15" i="3" s="1"/>
  <c r="G15" i="3" a="1"/>
  <c r="G15" i="3" s="1"/>
  <c r="H15" i="3" a="1"/>
  <c r="H15" i="3" s="1"/>
  <c r="E16" i="3" a="1"/>
  <c r="E16" i="3" s="1"/>
  <c r="F16" i="3" a="1"/>
  <c r="F16" i="3" s="1"/>
  <c r="G16" i="3" a="1"/>
  <c r="G16" i="3" s="1"/>
  <c r="H16" i="3" a="1"/>
  <c r="H16" i="3" s="1"/>
  <c r="I16" i="3" a="1"/>
  <c r="I16" i="3" s="1"/>
  <c r="J16" i="3" a="1"/>
  <c r="J16" i="3" s="1"/>
  <c r="K16" i="3" a="1"/>
  <c r="K16" i="3" s="1"/>
  <c r="L16" i="3" a="1"/>
  <c r="L16" i="3" s="1"/>
  <c r="M16" i="3" a="1"/>
  <c r="M16" i="3" s="1"/>
  <c r="N16" i="3" a="1"/>
  <c r="N16" i="3" s="1"/>
  <c r="O16" i="3" a="1"/>
  <c r="O16" i="3" s="1"/>
  <c r="B17" i="3"/>
  <c r="C17" i="3"/>
  <c r="D17" i="3" a="1"/>
  <c r="D17" i="3" s="1"/>
  <c r="G12" i="3" a="1"/>
  <c r="G12" i="3" s="1"/>
  <c r="I15" i="3" a="1"/>
  <c r="I15" i="3" s="1"/>
  <c r="D5" i="3" a="1"/>
  <c r="D5" i="3" s="1"/>
  <c r="E5" i="3" a="1"/>
  <c r="E5" i="3" s="1"/>
  <c r="F5" i="3" a="1"/>
  <c r="F5" i="3" s="1"/>
  <c r="G5" i="3" a="1"/>
  <c r="G5" i="3" s="1"/>
  <c r="H5" i="3" a="1"/>
  <c r="H5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B6" i="3"/>
  <c r="C6" i="3"/>
  <c r="D6" i="3" a="1"/>
  <c r="D6" i="3" s="1"/>
  <c r="E6" i="3" a="1"/>
  <c r="E6" i="3" s="1"/>
  <c r="F6" i="3" a="1"/>
  <c r="F6" i="3" s="1"/>
  <c r="G6" i="3" a="1"/>
  <c r="G6" i="3" s="1"/>
  <c r="H6" i="3" a="1"/>
  <c r="H6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B7" i="3"/>
  <c r="C7" i="3"/>
  <c r="D7" i="3" a="1"/>
  <c r="D7" i="3" s="1"/>
  <c r="E7" i="3" a="1"/>
  <c r="E7" i="3" s="1"/>
  <c r="F7" i="3" a="1"/>
  <c r="F7" i="3" s="1"/>
  <c r="G7" i="3" a="1"/>
  <c r="G7" i="3" s="1"/>
  <c r="H7" i="3" a="1"/>
  <c r="H7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G8" i="3" a="1"/>
  <c r="G8" i="3" s="1"/>
  <c r="B14" i="3"/>
  <c r="C14" i="3"/>
  <c r="D14" i="3" a="1"/>
  <c r="D14" i="3" s="1"/>
  <c r="E14" i="3" a="1"/>
  <c r="E14" i="3" s="1"/>
  <c r="F14" i="3" a="1"/>
  <c r="F14" i="3" s="1"/>
  <c r="G14" i="3" a="1"/>
  <c r="G14" i="3" s="1"/>
  <c r="H14" i="3" a="1"/>
  <c r="H14" i="3" s="1"/>
  <c r="I14" i="3" a="1"/>
  <c r="I14" i="3" s="1"/>
  <c r="J14" i="3" a="1"/>
  <c r="J14" i="3" s="1"/>
  <c r="K14" i="3" a="1"/>
  <c r="K14" i="3" s="1"/>
  <c r="L14" i="3" a="1"/>
  <c r="L14" i="3" s="1"/>
  <c r="M14" i="3" a="1"/>
  <c r="M14" i="3" s="1"/>
  <c r="N14" i="3" a="1"/>
  <c r="N14" i="3" s="1"/>
  <c r="O14" i="3" a="1"/>
  <c r="O14" i="3" s="1"/>
  <c r="B15" i="3"/>
  <c r="C15" i="3"/>
  <c r="D15" i="3" a="1"/>
  <c r="D15" i="3" s="1"/>
  <c r="E15" i="3" a="1"/>
  <c r="E15" i="3" s="1"/>
  <c r="O17" i="3" a="1"/>
  <c r="O17" i="3" s="1"/>
  <c r="B18" i="3"/>
  <c r="C18" i="3"/>
  <c r="D18" i="3" a="1"/>
  <c r="D18" i="3" s="1"/>
  <c r="E18" i="3" a="1"/>
  <c r="E18" i="3" s="1"/>
  <c r="F18" i="3" a="1"/>
  <c r="F18" i="3" s="1"/>
  <c r="G18" i="3" a="1"/>
  <c r="G18" i="3" s="1"/>
  <c r="H18" i="3" a="1"/>
  <c r="H18" i="3" s="1"/>
  <c r="I18" i="3" a="1"/>
  <c r="I18" i="3" s="1"/>
  <c r="J18" i="3" a="1"/>
  <c r="J18" i="3" s="1"/>
  <c r="K18" i="3" a="1"/>
  <c r="K18" i="3" s="1"/>
  <c r="L18" i="3" a="1"/>
  <c r="L18" i="3" s="1"/>
  <c r="M18" i="3" a="1"/>
  <c r="M18" i="3" s="1"/>
  <c r="N18" i="3" a="1"/>
  <c r="N18" i="3" s="1"/>
  <c r="O18" i="3" a="1"/>
  <c r="O18" i="3" s="1"/>
  <c r="B19" i="3"/>
  <c r="C19" i="3"/>
  <c r="D19" i="3" a="1"/>
  <c r="D19" i="3" s="1"/>
  <c r="E19" i="3" a="1"/>
  <c r="E19" i="3" s="1"/>
  <c r="F19" i="3" a="1"/>
  <c r="F19" i="3" s="1"/>
  <c r="G19" i="3" a="1"/>
  <c r="G19" i="3" s="1"/>
  <c r="H19" i="3" a="1"/>
  <c r="H19" i="3" s="1"/>
  <c r="I19" i="3" a="1"/>
  <c r="I19" i="3" s="1"/>
  <c r="J19" i="3" a="1"/>
  <c r="J19" i="3" s="1"/>
  <c r="K19" i="3" a="1"/>
  <c r="K19" i="3" s="1"/>
  <c r="L19" i="3" a="1"/>
  <c r="L19" i="3" s="1"/>
  <c r="M19" i="3" a="1"/>
  <c r="M19" i="3" s="1"/>
  <c r="N19" i="3" a="1"/>
  <c r="N19" i="3" s="1"/>
  <c r="O19" i="3" a="1"/>
  <c r="O19" i="3" s="1"/>
  <c r="B20" i="3"/>
  <c r="C20" i="3"/>
  <c r="D20" i="3" a="1"/>
  <c r="D20" i="3" s="1"/>
  <c r="E20" i="3" a="1"/>
  <c r="E20" i="3" s="1"/>
  <c r="F20" i="3" a="1"/>
  <c r="F20" i="3" s="1"/>
  <c r="G20" i="3" a="1"/>
  <c r="G20" i="3" s="1"/>
  <c r="H20" i="3" a="1"/>
  <c r="H20" i="3" s="1"/>
  <c r="I20" i="3" a="1"/>
  <c r="I20" i="3" s="1"/>
  <c r="J20" i="3" a="1"/>
  <c r="J20" i="3" s="1"/>
  <c r="K20" i="3" a="1"/>
  <c r="K20" i="3" s="1"/>
  <c r="F24" i="3" a="1"/>
  <c r="F24" i="3" s="1"/>
  <c r="H24" i="3" a="1"/>
  <c r="H24" i="3" s="1"/>
  <c r="I24" i="3" a="1"/>
  <c r="I24" i="3" s="1"/>
  <c r="K24" i="3" a="1"/>
  <c r="K24" i="3" s="1"/>
  <c r="L24" i="3" a="1"/>
  <c r="L24" i="3" s="1"/>
  <c r="N24" i="3" a="1"/>
  <c r="N24" i="3" s="1"/>
  <c r="O24" i="3" a="1"/>
  <c r="O24" i="3" s="1"/>
  <c r="B26" i="3"/>
  <c r="E26" i="3" a="1"/>
  <c r="E26" i="3" s="1"/>
  <c r="I26" i="3" a="1"/>
  <c r="I26" i="3" s="1"/>
  <c r="L26" i="3" a="1"/>
  <c r="L26" i="3" s="1"/>
  <c r="B30" i="3"/>
  <c r="E30" i="3" a="1"/>
  <c r="E30" i="3" s="1"/>
  <c r="I30" i="3" a="1"/>
  <c r="I30" i="3" s="1"/>
  <c r="M30" i="3" a="1"/>
  <c r="M30" i="3" s="1"/>
  <c r="B2" i="3"/>
  <c r="C2" i="3"/>
  <c r="D2" i="3" a="1"/>
  <c r="D2" i="3" s="1"/>
  <c r="E2" i="3" a="1"/>
  <c r="E2" i="3" s="1"/>
  <c r="F2" i="3" a="1"/>
  <c r="F2" i="3" s="1"/>
  <c r="D31" i="3" a="1"/>
  <c r="D31" i="3" s="1"/>
  <c r="I31" i="3" a="1"/>
  <c r="I31" i="3" s="1"/>
  <c r="L31" i="3" a="1"/>
  <c r="L31" i="3" s="1"/>
  <c r="G2" i="3" a="1"/>
  <c r="G2" i="3" s="1"/>
  <c r="J3" i="3" a="1"/>
  <c r="J3" i="3" s="1"/>
  <c r="G21" i="3" a="1"/>
  <c r="G21" i="3" s="1"/>
  <c r="C4" i="3"/>
  <c r="H4" i="3" a="1"/>
  <c r="H4" i="3" s="1"/>
  <c r="H2" i="3" a="1"/>
  <c r="H2" i="3" s="1"/>
  <c r="I2" i="3" a="1"/>
  <c r="I2" i="3" s="1"/>
  <c r="J2" i="3" a="1"/>
  <c r="J2" i="3" s="1"/>
  <c r="K2" i="3" a="1"/>
  <c r="K2" i="3" s="1"/>
  <c r="L2" i="3" a="1"/>
  <c r="L2" i="3" s="1"/>
  <c r="B21" i="3"/>
  <c r="C21" i="3"/>
  <c r="D21" i="3" a="1"/>
  <c r="D21" i="3" s="1"/>
  <c r="E21" i="3" a="1"/>
  <c r="E21" i="3" s="1"/>
  <c r="F21" i="3" a="1"/>
  <c r="F21" i="3" s="1"/>
  <c r="M2" i="3" a="1"/>
  <c r="M2" i="3" s="1"/>
  <c r="H21" i="3" a="1"/>
  <c r="H21" i="3" s="1"/>
  <c r="I21" i="3" a="1"/>
  <c r="I21" i="3" s="1"/>
  <c r="J21" i="3" a="1"/>
  <c r="J21" i="3" s="1"/>
  <c r="K21" i="3" a="1"/>
  <c r="K21" i="3" s="1"/>
  <c r="L21" i="3" a="1"/>
  <c r="L21" i="3" s="1"/>
  <c r="M21" i="3" a="1"/>
  <c r="M21" i="3" s="1"/>
  <c r="N21" i="3" a="1"/>
  <c r="N21" i="3" s="1"/>
  <c r="O21" i="3" a="1"/>
  <c r="O21" i="3" s="1"/>
  <c r="B22" i="3"/>
  <c r="C22" i="3"/>
  <c r="D22" i="3" a="1"/>
  <c r="D22" i="3" s="1"/>
  <c r="E22" i="3" a="1"/>
  <c r="E22" i="3" s="1"/>
  <c r="F22" i="3" a="1"/>
  <c r="F22" i="3" s="1"/>
  <c r="G22" i="3" a="1"/>
  <c r="G22" i="3" s="1"/>
  <c r="H22" i="3" a="1"/>
  <c r="H22" i="3" s="1"/>
  <c r="I22" i="3" a="1"/>
  <c r="I22" i="3" s="1"/>
  <c r="J22" i="3" a="1"/>
  <c r="J22" i="3" s="1"/>
  <c r="K22" i="3" a="1"/>
  <c r="K22" i="3" s="1"/>
  <c r="L22" i="3" a="1"/>
  <c r="L22" i="3" s="1"/>
  <c r="M22" i="3" a="1"/>
  <c r="M22" i="3" s="1"/>
  <c r="N22" i="3" a="1"/>
  <c r="N22" i="3" s="1"/>
  <c r="O22" i="3" a="1"/>
  <c r="O22" i="3" s="1"/>
  <c r="B23" i="3"/>
  <c r="C23" i="3"/>
  <c r="D23" i="3" a="1"/>
  <c r="D23" i="3" s="1"/>
  <c r="E23" i="3" a="1"/>
  <c r="E23" i="3" s="1"/>
  <c r="F23" i="3" a="1"/>
  <c r="F23" i="3" s="1"/>
  <c r="G23" i="3" a="1"/>
  <c r="G23" i="3" s="1"/>
  <c r="H23" i="3" a="1"/>
  <c r="H23" i="3" s="1"/>
  <c r="I23" i="3" a="1"/>
  <c r="I23" i="3" s="1"/>
  <c r="J23" i="3" a="1"/>
  <c r="J23" i="3" s="1"/>
  <c r="K23" i="3" a="1"/>
  <c r="K23" i="3" s="1"/>
  <c r="L23" i="3" a="1"/>
  <c r="L23" i="3" s="1"/>
  <c r="M23" i="3" a="1"/>
  <c r="M23" i="3" s="1"/>
  <c r="N23" i="3" a="1"/>
  <c r="N23" i="3" s="1"/>
  <c r="O23" i="3" a="1"/>
  <c r="O23" i="3" s="1"/>
  <c r="G24" i="3" a="1"/>
  <c r="G24" i="3" s="1"/>
  <c r="J24" i="3" a="1"/>
  <c r="J24" i="3" s="1"/>
  <c r="M24" i="3" a="1"/>
  <c r="M24" i="3" s="1"/>
  <c r="G26" i="3" a="1"/>
  <c r="G26" i="3" s="1"/>
  <c r="M26" i="3" a="1"/>
  <c r="M26" i="3" s="1"/>
  <c r="D30" i="3" a="1"/>
  <c r="D30" i="3" s="1"/>
  <c r="L30" i="3" a="1"/>
  <c r="L30" i="3" s="1"/>
  <c r="N2" i="3" a="1"/>
  <c r="N2" i="3" s="1"/>
  <c r="O2" i="3" a="1"/>
  <c r="O2" i="3" s="1"/>
  <c r="F31" i="3" a="1"/>
  <c r="F31" i="3" s="1"/>
  <c r="K3" i="3" a="1"/>
  <c r="K3" i="3" s="1"/>
  <c r="D29" i="3" a="1"/>
  <c r="D29" i="3" s="1"/>
  <c r="O26" i="3" a="1"/>
  <c r="O26" i="3" s="1"/>
  <c r="B27" i="3"/>
  <c r="C27" i="3"/>
  <c r="D27" i="3" a="1"/>
  <c r="D27" i="3" s="1"/>
  <c r="E27" i="3" a="1"/>
  <c r="E27" i="3" s="1"/>
  <c r="F27" i="3" a="1"/>
  <c r="F27" i="3" s="1"/>
  <c r="G27" i="3" a="1"/>
  <c r="G27" i="3" s="1"/>
  <c r="H27" i="3" a="1"/>
  <c r="H27" i="3" s="1"/>
  <c r="I27" i="3" a="1"/>
  <c r="I27" i="3" s="1"/>
  <c r="J27" i="3" a="1"/>
  <c r="J27" i="3" s="1"/>
  <c r="K27" i="3" a="1"/>
  <c r="K27" i="3" s="1"/>
  <c r="L27" i="3" a="1"/>
  <c r="L27" i="3" s="1"/>
  <c r="M27" i="3" a="1"/>
  <c r="M27" i="3" s="1"/>
  <c r="N27" i="3" a="1"/>
  <c r="N27" i="3" s="1"/>
  <c r="O27" i="3" a="1"/>
  <c r="O27" i="3" s="1"/>
  <c r="B28" i="3"/>
  <c r="C28" i="3"/>
  <c r="D28" i="3" a="1"/>
  <c r="D28" i="3" s="1"/>
  <c r="E28" i="3" a="1"/>
  <c r="E28" i="3" s="1"/>
  <c r="F28" i="3" a="1"/>
  <c r="F28" i="3" s="1"/>
  <c r="G28" i="3" a="1"/>
  <c r="G28" i="3" s="1"/>
  <c r="H28" i="3" a="1"/>
  <c r="H28" i="3" s="1"/>
  <c r="I28" i="3" a="1"/>
  <c r="I28" i="3" s="1"/>
  <c r="J28" i="3" a="1"/>
  <c r="J28" i="3" s="1"/>
  <c r="K28" i="3" a="1"/>
  <c r="K28" i="3" s="1"/>
  <c r="L28" i="3" a="1"/>
  <c r="L28" i="3" s="1"/>
  <c r="M28" i="3" a="1"/>
  <c r="M28" i="3" s="1"/>
  <c r="N28" i="3" a="1"/>
  <c r="N28" i="3" s="1"/>
  <c r="O28" i="3" a="1"/>
  <c r="O28" i="3" s="1"/>
  <c r="H29" i="3" a="1"/>
  <c r="H29" i="3" s="1"/>
  <c r="I29" i="3" a="1"/>
  <c r="I29" i="3" s="1"/>
  <c r="J29" i="3" a="1"/>
  <c r="J29" i="3" s="1"/>
  <c r="K29" i="3" a="1"/>
  <c r="K29" i="3" s="1"/>
  <c r="L29" i="3" a="1"/>
  <c r="L29" i="3" s="1"/>
  <c r="M29" i="3" a="1"/>
  <c r="M29" i="3" s="1"/>
  <c r="N29" i="3" a="1"/>
  <c r="N29" i="3" s="1"/>
  <c r="O29" i="3" a="1"/>
  <c r="O29" i="3" s="1"/>
  <c r="H30" i="3" a="1"/>
  <c r="H30" i="3" s="1"/>
  <c r="N30" i="3" a="1"/>
  <c r="N30" i="3" s="1"/>
  <c r="L3" i="3" a="1"/>
  <c r="L3" i="3" s="1"/>
  <c r="M3" i="3" a="1"/>
  <c r="M3" i="3" s="1"/>
  <c r="N3" i="3" a="1"/>
  <c r="N3" i="3" s="1"/>
  <c r="G31" i="3" a="1"/>
  <c r="G31" i="3" s="1"/>
  <c r="M31" i="3" a="1"/>
  <c r="M31" i="3" s="1"/>
  <c r="O3" i="3" a="1"/>
  <c r="O3" i="3" s="1"/>
  <c r="C5" i="3"/>
  <c r="N31" i="3" a="1"/>
  <c r="N31" i="3" s="1"/>
  <c r="C3" i="3"/>
  <c r="B3" i="3"/>
  <c r="D3" i="3" a="1"/>
  <c r="D3" i="3" s="1"/>
  <c r="H3" i="3" a="1"/>
  <c r="H3" i="3" s="1"/>
  <c r="G3" i="3" a="1"/>
  <c r="G3" i="3" s="1"/>
  <c r="I3" i="3" a="1"/>
  <c r="I3" i="3" s="1"/>
  <c r="F3" i="3" a="1"/>
  <c r="F3" i="3" s="1"/>
  <c r="E3" i="3" a="1"/>
  <c r="E3" i="3" s="1"/>
  <c r="N4" i="3" a="1"/>
  <c r="N4" i="3" s="1"/>
  <c r="K4" i="3" a="1"/>
  <c r="K4" i="3" s="1"/>
  <c r="I4" i="3" a="1"/>
  <c r="I4" i="3" s="1"/>
  <c r="B4" i="3"/>
  <c r="F4" i="3" a="1"/>
  <c r="F4" i="3" s="1"/>
  <c r="G29" i="3" a="1"/>
  <c r="G29" i="3" s="1"/>
  <c r="O4" i="3" a="1"/>
  <c r="O4" i="3" s="1"/>
  <c r="M4" i="3" a="1"/>
  <c r="M4" i="3" s="1"/>
  <c r="E4" i="3" a="1"/>
  <c r="E4" i="3" s="1"/>
  <c r="G4" i="3" a="1"/>
  <c r="G4" i="3" s="1"/>
  <c r="J4" i="3" a="1"/>
  <c r="J4" i="3" s="1"/>
  <c r="L4" i="3" a="1"/>
  <c r="L4" i="3" s="1"/>
  <c r="D4" i="3" a="1"/>
  <c r="D4" i="3" s="1"/>
  <c r="B5" i="3"/>
  <c r="B8" i="3"/>
  <c r="E8" i="3" a="1"/>
  <c r="E8" i="3" s="1"/>
  <c r="D8" i="3" a="1"/>
  <c r="D8" i="3" s="1"/>
  <c r="F8" i="3" a="1"/>
  <c r="F8" i="3" s="1"/>
  <c r="C8" i="3"/>
  <c r="F9" i="3" a="1"/>
  <c r="F9" i="3" s="1"/>
  <c r="E9" i="3" a="1"/>
  <c r="E9" i="3" s="1"/>
  <c r="C9" i="3"/>
  <c r="B9" i="3"/>
  <c r="D9" i="3" a="1"/>
  <c r="D9" i="3" s="1"/>
  <c r="E10" i="3" a="1"/>
  <c r="E10" i="3" s="1"/>
  <c r="C10" i="3"/>
  <c r="B10" i="3"/>
  <c r="D10" i="3" a="1"/>
  <c r="D10" i="3" s="1"/>
  <c r="I25" i="3" a="1"/>
  <c r="I25" i="3" s="1"/>
  <c r="K25" i="3" a="1"/>
  <c r="K25" i="3" s="1"/>
  <c r="C29" i="3"/>
  <c r="B29" i="3"/>
  <c r="O20" i="3" a="1"/>
  <c r="O20" i="3" s="1"/>
  <c r="N20" i="3" a="1"/>
  <c r="N20" i="3" s="1"/>
  <c r="M20" i="3" a="1"/>
  <c r="M20" i="3" s="1"/>
  <c r="L20" i="3" a="1"/>
  <c r="L20" i="3" s="1"/>
  <c r="D24" i="3" a="1"/>
  <c r="D24" i="3" s="1"/>
  <c r="B24" i="3"/>
  <c r="E24" i="3" a="1"/>
  <c r="E24" i="3" s="1"/>
  <c r="C24" i="3"/>
  <c r="M25" i="3" a="1"/>
  <c r="M25" i="3" s="1"/>
  <c r="N25" i="3" a="1"/>
  <c r="N25" i="3" s="1"/>
  <c r="O25" i="3" a="1"/>
  <c r="O25" i="3" s="1"/>
  <c r="F25" i="3" a="1"/>
  <c r="F25" i="3" s="1"/>
  <c r="B25" i="3"/>
  <c r="C25" i="3"/>
  <c r="E25" i="3" a="1"/>
  <c r="E25" i="3" s="1"/>
  <c r="D25" i="3" a="1"/>
  <c r="D25" i="3" s="1"/>
  <c r="H25" i="3" a="1"/>
  <c r="H25" i="3" s="1"/>
  <c r="G25" i="3" a="1"/>
  <c r="G25" i="3" s="1"/>
  <c r="J25" i="3" a="1"/>
  <c r="J25" i="3" s="1"/>
  <c r="L25" i="3" a="1"/>
  <c r="L25" i="3" s="1"/>
  <c r="E29" i="3" a="1"/>
  <c r="E29" i="3" s="1"/>
  <c r="F29" i="3" a="1"/>
  <c r="F2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<sst xmlns="http://schemas.openxmlformats.org/spreadsheetml/2006/main" count="105" uniqueCount="101">
  <si>
    <t>De Vliegende Stroopwafels</t>
  </si>
  <si>
    <t>Bietsende Bitterballen</t>
  </si>
  <si>
    <t>De Dolle Klompendansers</t>
  </si>
  <si>
    <t>Kaaskoppen United</t>
  </si>
  <si>
    <t>De Hossende Haringen</t>
  </si>
  <si>
    <t>Tulpen uit Toeterdam</t>
  </si>
  <si>
    <t>De Pittige Pepernoten</t>
  </si>
  <si>
    <t>Fietsende Frikandellen</t>
  </si>
  <si>
    <t>De Gekke Gouwenaars</t>
  </si>
  <si>
    <t>Stampende Stamppotters</t>
  </si>
  <si>
    <t>Team</t>
  </si>
  <si>
    <t>Total</t>
  </si>
  <si>
    <t>Max</t>
  </si>
  <si>
    <t>Rank</t>
  </si>
  <si>
    <t>Score</t>
  </si>
  <si>
    <t>Sort key</t>
  </si>
  <si>
    <t>Tie-break</t>
  </si>
  <si>
    <t>TEAMS</t>
  </si>
  <si>
    <t>ROUNDS</t>
  </si>
  <si>
    <t>TOTAL POINTS</t>
  </si>
  <si>
    <t>Kwistet</t>
  </si>
  <si>
    <t>Quiz Statistics</t>
  </si>
  <si>
    <t>Aggregate insights across all teams and rounds</t>
  </si>
  <si>
    <t>AVG / ROUND</t>
  </si>
  <si>
    <t>📊  Score Distribution</t>
  </si>
  <si>
    <t>Highest single-round score</t>
  </si>
  <si>
    <t>Lowest single-round score</t>
  </si>
  <si>
    <t>Median round score</t>
  </si>
  <si>
    <t>Std deviation of scores</t>
  </si>
  <si>
    <t>Perfect rounds (10/10)</t>
  </si>
  <si>
    <t>Zero rounds (0/10)</t>
  </si>
  <si>
    <t>Rounds at or above 8/10</t>
  </si>
  <si>
    <t>Rounds at or below 3/10</t>
  </si>
  <si>
    <t>🎯  Team Performance Spread</t>
  </si>
  <si>
    <t>Best team total</t>
  </si>
  <si>
    <t>Worst team total</t>
  </si>
  <si>
    <t>Average team total</t>
  </si>
  <si>
    <t>Score gap (best − worst)</t>
  </si>
  <si>
    <t>Std deviation across teams</t>
  </si>
  <si>
    <t>Teams above average</t>
  </si>
  <si>
    <t>Best score % of max</t>
  </si>
  <si>
    <t>Field average % of max</t>
  </si>
  <si>
    <t>Avg</t>
  </si>
  <si>
    <t>Min</t>
  </si>
  <si>
    <t>Difficulty (longer = easier)</t>
  </si>
  <si>
    <t>% Perfect</t>
  </si>
  <si>
    <t>Tussenronde 1</t>
  </si>
  <si>
    <t>Tussenronde 2</t>
  </si>
  <si>
    <t>Doe-ronde</t>
  </si>
  <si>
    <t>Rond de wereld</t>
  </si>
  <si>
    <t>Woordslang</t>
  </si>
  <si>
    <t>Lokaal</t>
  </si>
  <si>
    <t>Actua</t>
  </si>
  <si>
    <t>Nogeenploeg</t>
  </si>
  <si>
    <t>Total rounds</t>
  </si>
  <si>
    <t>#</t>
  </si>
  <si>
    <t>PTS</t>
  </si>
  <si>
    <t>NAME</t>
  </si>
  <si>
    <t>TEAM NAME</t>
  </si>
  <si>
    <t>💡  HOW IT WORKS</t>
  </si>
  <si>
    <t>Add or remove teams in column F</t>
  </si>
  <si>
    <t>Edit max points per round in column B</t>
  </si>
  <si>
    <t>Rename rounds in column C</t>
  </si>
  <si>
    <t>Dashboard &amp; Standings update automatically</t>
  </si>
  <si>
    <t>🎯  Quiz Setup</t>
  </si>
  <si>
    <t>Configure rounds and teams — everything else updates automatically.</t>
  </si>
  <si>
    <t>Team19</t>
  </si>
  <si>
    <t>Team20</t>
  </si>
  <si>
    <t>Team21</t>
  </si>
  <si>
    <t>Team22</t>
  </si>
  <si>
    <t>Team23</t>
  </si>
  <si>
    <t>Team24</t>
  </si>
  <si>
    <t>Team25</t>
  </si>
  <si>
    <t>Team26</t>
  </si>
  <si>
    <t>Team27</t>
  </si>
  <si>
    <t>Team28</t>
  </si>
  <si>
    <t>Team29</t>
  </si>
  <si>
    <t>Team30</t>
  </si>
  <si>
    <t>Team31</t>
  </si>
  <si>
    <t>Team32</t>
  </si>
  <si>
    <t>Team33</t>
  </si>
  <si>
    <t>Team34</t>
  </si>
  <si>
    <t>Team35</t>
  </si>
  <si>
    <t>Team36</t>
  </si>
  <si>
    <t>Team37</t>
  </si>
  <si>
    <t>Team38</t>
  </si>
  <si>
    <t>Team39</t>
  </si>
  <si>
    <t>Team40</t>
  </si>
  <si>
    <t>Team41</t>
  </si>
  <si>
    <t>Team42</t>
  </si>
  <si>
    <t>Team43</t>
  </si>
  <si>
    <t>Team44</t>
  </si>
  <si>
    <t>Team45</t>
  </si>
  <si>
    <t>Team46</t>
  </si>
  <si>
    <t>Team47</t>
  </si>
  <si>
    <t>Team48</t>
  </si>
  <si>
    <t>Team49</t>
  </si>
  <si>
    <t>Team50</t>
  </si>
  <si>
    <t>Set total rounds in the peach box (C4)</t>
  </si>
  <si>
    <t>📈  Round Difficulty</t>
  </si>
  <si>
    <t>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</si>
</sst>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4" x14ac:knownFonts="1">
    <font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2D1B4E"/>
      <name val="Aptos"/>
      <family val="2"/>
    </font>
    <font>
      <sz val="11"/>
      <color rgb="FFFFFFFF"/>
      <name val="Aptos Narrow"/>
      <family val="2"/>
      <scheme val="minor"/>
    </font>
    <font>
      <b/>
      <i/>
      <sz val="11"/>
      <color rgb="FF6B7280"/>
      <name val="Aptos Narrow"/>
      <scheme val="minor"/>
    </font>
    <font>
      <i/>
      <sz val="11"/>
      <color rgb="FF6B7280"/>
      <name val="Aptos Narrow"/>
      <scheme val="minor"/>
    </font>
    <font>
      <b/>
      <sz val="13"/>
      <color rgb="FF1E1B4B"/>
      <name val="Aptos Display"/>
    </font>
    <font>
      <sz val="10"/>
      <color rgb="FF6B7280"/>
      <name val="Aptos Narrow"/>
      <scheme val="minor"/>
    </font>
    <font>
      <sz val="11"/>
      <color theme="1"/>
      <name val="Aptos Narrow"/>
      <scheme val="minor"/>
    </font>
    <font>
      <sz val="9"/>
      <color rgb="FF9CA3AF"/>
      <name val="Aptos Display"/>
    </font>
    <font>
      <b/>
      <sz val="9"/>
      <color rgb="FF9CA3AF"/>
      <name val="Aptos Narrow"/>
      <scheme val="minor"/>
    </font>
    <font>
      <sz val="11"/>
      <color rgb="FF9CA3AF"/>
      <name val="Aptos Narrow"/>
      <scheme val="minor"/>
    </font>
    <font>
      <sz val="11"/>
      <color rgb="FF111827"/>
      <name val="Aptos Narrow"/>
      <scheme val="minor"/>
    </font>
    <font>
      <b/>
      <sz val="9"/>
      <color rgb="FF9CA3AF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rgb="FF92400E"/>
      <name val="Aptos Narrow"/>
      <scheme val="minor"/>
    </font>
    <font>
      <sz val="11"/>
      <color rgb="FF1F2937"/>
      <name val="Aptos Narrow"/>
      <scheme val="minor"/>
    </font>
    <font>
      <b/>
      <sz val="28"/>
      <color rgb="FFFFFFFF"/>
      <name val="Aptos Display"/>
      <family val="2"/>
    </font>
    <font>
      <b/>
      <sz val="13"/>
      <color rgb="FF1F2937"/>
      <name val="Aptos Display"/>
      <family val="2"/>
    </font>
    <font>
      <b/>
      <sz val="14"/>
      <color rgb="FF9A3412"/>
      <name val="Aptos Display"/>
      <family val="2"/>
    </font>
    <font>
      <b/>
      <sz val="12"/>
      <color rgb="FFC2410C"/>
      <name val="Aptos Narrow"/>
      <family val="2"/>
      <scheme val="minor"/>
    </font>
    <font>
      <b/>
      <sz val="11"/>
      <color rgb="FF1F2937"/>
      <name val="Aptos Narrow"/>
      <family val="2"/>
      <scheme val="minor"/>
    </font>
    <font>
      <b/>
      <sz val="11"/>
      <color rgb="FFC2410C"/>
      <name val="Aptos Narrow"/>
      <family val="2"/>
      <scheme val="minor"/>
    </font>
    <font>
      <sz val="11"/>
      <color rgb="FF1F2937"/>
      <name val="Aptos Narrow"/>
      <family val="2"/>
      <scheme val="minor"/>
    </font>
    <font>
      <i/>
      <sz val="11"/>
      <color rgb="FF1F2937"/>
      <name val="Aptos Narrow"/>
      <family val="2"/>
      <scheme val="minor"/>
    </font>
    <font>
      <b/>
      <sz val="14"/>
      <color rgb="FF1F2937"/>
      <name val="Aptos Narrow"/>
      <family val="2"/>
      <scheme val="minor"/>
    </font>
    <font>
      <b/>
      <sz val="12"/>
      <color rgb="FF1F2937"/>
      <name val="Aptos Narrow"/>
      <family val="2"/>
      <scheme val="minor"/>
    </font>
    <font>
      <b/>
      <sz val="14"/>
      <color rgb="FF78350F"/>
      <name val="Aptos Narrow"/>
      <family val="2"/>
      <scheme val="minor"/>
    </font>
    <font>
      <b/>
      <sz val="12"/>
      <color rgb="FF78350F"/>
      <name val="Aptos Narrow"/>
      <family val="2"/>
      <scheme val="minor"/>
    </font>
    <font>
      <b/>
      <sz val="14"/>
      <color rgb="FF334155"/>
      <name val="Aptos Narrow"/>
      <family val="2"/>
      <scheme val="minor"/>
    </font>
    <font>
      <b/>
      <sz val="12"/>
      <color rgb="FF334155"/>
      <name val="Aptos Narrow"/>
      <family val="2"/>
      <scheme val="minor"/>
    </font>
    <font>
      <b/>
      <sz val="14"/>
      <color rgb="FF7C2D12"/>
      <name val="Aptos Narrow"/>
      <family val="2"/>
      <scheme val="minor"/>
    </font>
    <font>
      <b/>
      <sz val="12"/>
      <color rgb="FF7C2D12"/>
      <name val="Aptos Narrow"/>
      <family val="2"/>
      <scheme val="minor"/>
    </font>
    <font>
      <b/>
      <sz val="14"/>
      <color rgb="FF9A3412"/>
      <name val="Aptos Narrow"/>
      <family val="2"/>
      <scheme val="minor"/>
    </font>
    <font>
      <b/>
      <sz val="18"/>
      <color rgb="FF78350F"/>
      <name val="Aptos Narrow"/>
      <family val="2"/>
      <scheme val="minor"/>
    </font>
    <font>
      <b/>
      <sz val="16"/>
      <color rgb="FF334155"/>
      <name val="Aptos Narrow"/>
      <family val="2"/>
      <scheme val="minor"/>
    </font>
    <font>
      <b/>
      <sz val="15"/>
      <color rgb="FF7C2D12"/>
      <name val="Aptos Narrow"/>
      <family val="2"/>
      <scheme val="minor"/>
    </font>
    <font>
      <sz val="10"/>
      <color rgb="FF1F2937"/>
      <name val="Aptos Narrow"/>
      <family val="2"/>
      <scheme val="minor"/>
    </font>
    <font>
      <sz val="9"/>
      <color rgb="FFC2410C"/>
      <name val="Consolas"/>
      <family val="3"/>
    </font>
    <font>
      <b/>
      <sz val="10"/>
      <color rgb="FF92400E"/>
      <name val="Aptos Narrow"/>
      <family val="2"/>
      <scheme val="minor"/>
    </font>
    <font>
      <b/>
      <sz val="22"/>
      <color rgb="FF9A3412"/>
      <name val="Aptos Narrow"/>
      <family val="2"/>
      <scheme val="minor"/>
    </font>
    <font>
      <i/>
      <sz val="10"/>
      <color rgb="FF78716C"/>
      <name val="Aptos Narrow"/>
      <family val="2"/>
      <scheme val="minor"/>
    </font>
    <font>
      <b/>
      <sz val="13"/>
      <color rgb="FF9A3412"/>
      <name val="Aptos Narrow"/>
      <family val="2"/>
      <scheme val="minor"/>
    </font>
    <font>
      <b/>
      <sz val="12"/>
      <color rgb="FF9A3412"/>
      <name val="Aptos"/>
      <family val="2"/>
    </font>
    <font>
      <b/>
      <sz val="9"/>
      <color rgb="FFFFFFFF"/>
      <name val="Aptos"/>
      <family val="2"/>
    </font>
    <font>
      <b/>
      <sz val="9"/>
      <color rgb="FFFFFFFF"/>
      <name val="Aptos Narrow"/>
      <family val="2"/>
      <scheme val="minor"/>
    </font>
    <font>
      <b/>
      <sz val="11"/>
      <color rgb="FF9A3412"/>
      <name val="Aptos"/>
      <family val="2"/>
    </font>
    <font>
      <b/>
      <sz val="9"/>
      <color rgb="FF9A3412"/>
      <name val="Aptos"/>
      <family val="2"/>
    </font>
    <font>
      <b/>
      <sz val="11"/>
      <color rgb="FFC2410C"/>
      <name val="Aptos"/>
      <family val="2"/>
    </font>
    <font>
      <b/>
      <sz val="10"/>
      <color rgb="FFC2410C"/>
      <name val="Aptos"/>
      <family val="2"/>
    </font>
    <font>
      <b/>
      <sz val="11"/>
      <color rgb="FF65A30D"/>
      <name val="Aptos"/>
      <family val="2"/>
    </font>
    <font>
      <b/>
      <sz val="9"/>
      <color rgb="FF65A30D"/>
      <name val="Aptos"/>
      <family val="2"/>
    </font>
    <font>
      <b/>
      <sz val="11"/>
      <color rgb="FFB91C1C"/>
      <name val="Aptos"/>
      <family val="2"/>
    </font>
    <font>
      <b/>
      <sz val="9"/>
      <color rgb="FFB91C1C"/>
      <name val="Aptos"/>
      <family val="2"/>
    </font>
    <font>
      <b/>
      <sz val="11"/>
      <color rgb="FF92400E"/>
      <name val="Aptos Narrow"/>
      <family val="2"/>
      <scheme val="minor"/>
    </font>
    <font>
      <b/>
      <sz val="9"/>
      <color rgb="FF92400E"/>
      <name val="Aptos Narrow"/>
      <family val="2"/>
      <scheme val="minor"/>
    </font>
    <font>
      <b/>
      <sz val="22"/>
      <color rgb="FFB45309"/>
      <name val="Aptos Narrow"/>
      <family val="2"/>
      <scheme val="minor"/>
    </font>
    <font>
      <b/>
      <sz val="10"/>
      <color rgb="FF1E40AF"/>
      <name val="Aptos Narrow"/>
      <family val="2"/>
      <scheme val="minor"/>
    </font>
    <font>
      <b/>
      <sz val="22"/>
      <color rgb="FF1D4ED8"/>
      <name val="Aptos Narrow"/>
      <family val="2"/>
      <scheme val="minor"/>
    </font>
    <font>
      <b/>
      <sz val="10"/>
      <color rgb="FF166534"/>
      <name val="Aptos Narrow"/>
      <family val="2"/>
      <scheme val="minor"/>
    </font>
    <font>
      <b/>
      <sz val="22"/>
      <color rgb="FF15803D"/>
      <name val="Aptos Narrow"/>
      <family val="2"/>
      <scheme val="minor"/>
    </font>
    <font>
      <b/>
      <sz val="10"/>
      <color rgb="FF9D174D"/>
      <name val="Aptos Narrow"/>
      <family val="2"/>
      <scheme val="minor"/>
    </font>
    <font>
      <b/>
      <sz val="22"/>
      <color rgb="FFBE185D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6FA"/>
        <bgColor indexed="64"/>
      </patternFill>
    </fill>
    <fill>
      <patternFill patternType="solid">
        <fgColor rgb="FFFFF8F1"/>
        <bgColor indexed="64"/>
      </patternFill>
    </fill>
    <fill>
      <patternFill patternType="solid">
        <fgColor rgb="FF9A3412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FCE7F3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1E5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ED7AA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DCFCE7"/>
        <bgColor indexed="64"/>
      </patternFill>
    </fill>
  </fills>
  <borders count="53">
    <border>
      <left/>
      <right/>
      <top/>
      <bottom/>
      <diagonal/>
    </border>
    <border>
      <left style="thin">
        <color rgb="FFE5E7EB"/>
      </left>
      <right style="thin">
        <color rgb="FFE5E7EB"/>
      </right>
      <top/>
      <bottom/>
      <diagonal/>
    </border>
    <border>
      <left style="thin">
        <color rgb="FFE5E7EB"/>
      </left>
      <right style="thin">
        <color rgb="FFE5E7EB"/>
      </right>
      <top style="hair">
        <color rgb="FFF3F4F6"/>
      </top>
      <bottom/>
      <diagonal/>
    </border>
    <border>
      <left/>
      <right/>
      <top style="hair">
        <color rgb="FFFDF1E5"/>
      </top>
      <bottom style="hair">
        <color rgb="FFFDF1E5"/>
      </bottom>
      <diagonal/>
    </border>
    <border>
      <left/>
      <right/>
      <top style="hair">
        <color rgb="FFFDF1E5"/>
      </top>
      <bottom/>
      <diagonal/>
    </border>
    <border>
      <left/>
      <right/>
      <top/>
      <bottom style="hair">
        <color rgb="FFFBE4D2"/>
      </bottom>
      <diagonal/>
    </border>
    <border>
      <left/>
      <right/>
      <top style="thin">
        <color rgb="FFF4D6BD"/>
      </top>
      <bottom/>
      <diagonal/>
    </border>
    <border>
      <left/>
      <right/>
      <top/>
      <bottom style="thin">
        <color rgb="FFF4D6BD"/>
      </bottom>
      <diagonal/>
    </border>
    <border>
      <left style="thin">
        <color rgb="FFF4D6BD"/>
      </left>
      <right/>
      <top style="thin">
        <color rgb="FFF4D6BD"/>
      </top>
      <bottom/>
      <diagonal/>
    </border>
    <border>
      <left style="thin">
        <color rgb="FFF4D6BD"/>
      </left>
      <right/>
      <top/>
      <bottom style="hair">
        <color rgb="FFFBE4D2"/>
      </bottom>
      <diagonal/>
    </border>
    <border>
      <left style="thin">
        <color rgb="FFF4D6BD"/>
      </left>
      <right/>
      <top/>
      <bottom/>
      <diagonal/>
    </border>
    <border>
      <left style="thin">
        <color rgb="FFF4D6BD"/>
      </left>
      <right/>
      <top style="hair">
        <color rgb="FFFDF1E5"/>
      </top>
      <bottom/>
      <diagonal/>
    </border>
    <border>
      <left style="thin">
        <color rgb="FFF4D6BD"/>
      </left>
      <right/>
      <top style="hair">
        <color rgb="FFFDF1E5"/>
      </top>
      <bottom style="hair">
        <color rgb="FFFDF1E5"/>
      </bottom>
      <diagonal/>
    </border>
    <border>
      <left style="thin">
        <color rgb="FFF4D6BD"/>
      </left>
      <right/>
      <top/>
      <bottom style="thin">
        <color rgb="FFF4D6BD"/>
      </bottom>
      <diagonal/>
    </border>
    <border>
      <left/>
      <right style="thin">
        <color rgb="FFF4D6BD"/>
      </right>
      <top style="thin">
        <color rgb="FFF4D6BD"/>
      </top>
      <bottom/>
      <diagonal/>
    </border>
    <border>
      <left/>
      <right style="thin">
        <color rgb="FFF4D6BD"/>
      </right>
      <top/>
      <bottom style="hair">
        <color rgb="FFFBE4D2"/>
      </bottom>
      <diagonal/>
    </border>
    <border>
      <left/>
      <right style="thin">
        <color rgb="FFF4D6BD"/>
      </right>
      <top/>
      <bottom/>
      <diagonal/>
    </border>
    <border>
      <left/>
      <right style="thin">
        <color rgb="FFF4D6BD"/>
      </right>
      <top style="hair">
        <color rgb="FFFDF1E5"/>
      </top>
      <bottom/>
      <diagonal/>
    </border>
    <border>
      <left/>
      <right style="thin">
        <color rgb="FFF4D6BD"/>
      </right>
      <top style="hair">
        <color rgb="FFFDF1E5"/>
      </top>
      <bottom style="hair">
        <color rgb="FFFDF1E5"/>
      </bottom>
      <diagonal/>
    </border>
    <border>
      <left/>
      <right style="thin">
        <color rgb="FFF4D6BD"/>
      </right>
      <top/>
      <bottom style="thin">
        <color rgb="FFF4D6BD"/>
      </bottom>
      <diagonal/>
    </border>
    <border>
      <left style="thin">
        <color rgb="FFF4D6BD"/>
      </left>
      <right style="thin">
        <color rgb="FFF4D6BD"/>
      </right>
      <top style="thin">
        <color rgb="FFF4D6BD"/>
      </top>
      <bottom/>
      <diagonal/>
    </border>
    <border>
      <left style="thin">
        <color rgb="FFF4D6BD"/>
      </left>
      <right style="thin">
        <color rgb="FFF4D6BD"/>
      </right>
      <top/>
      <bottom style="hair">
        <color rgb="FFFBE4D2"/>
      </bottom>
      <diagonal/>
    </border>
    <border>
      <left style="thin">
        <color rgb="FFF4D6BD"/>
      </left>
      <right style="thin">
        <color rgb="FFF4D6BD"/>
      </right>
      <top/>
      <bottom/>
      <diagonal/>
    </border>
    <border>
      <left style="thin">
        <color rgb="FFF4D6BD"/>
      </left>
      <right style="thin">
        <color rgb="FFF4D6BD"/>
      </right>
      <top style="hair">
        <color rgb="FFFDF1E5"/>
      </top>
      <bottom/>
      <diagonal/>
    </border>
    <border>
      <left style="thin">
        <color rgb="FFF4D6BD"/>
      </left>
      <right style="thin">
        <color rgb="FFF4D6BD"/>
      </right>
      <top style="hair">
        <color rgb="FFFDF1E5"/>
      </top>
      <bottom style="hair">
        <color rgb="FFFDF1E5"/>
      </bottom>
      <diagonal/>
    </border>
    <border>
      <left style="thin">
        <color rgb="FFF4D6BD"/>
      </left>
      <right style="thin">
        <color rgb="FFF4D6BD"/>
      </right>
      <top/>
      <bottom style="thin">
        <color rgb="FFF4D6BD"/>
      </bottom>
      <diagonal/>
    </border>
    <border>
      <left style="medium">
        <color rgb="FFC2410C"/>
      </left>
      <right style="medium">
        <color rgb="FFC2410C"/>
      </right>
      <top style="medium">
        <color rgb="FFC2410C"/>
      </top>
      <bottom style="medium">
        <color rgb="FFC2410C"/>
      </bottom>
      <diagonal/>
    </border>
    <border>
      <left style="medium">
        <color rgb="FFD97706"/>
      </left>
      <right style="thin">
        <color rgb="FFF4D6BD"/>
      </right>
      <top style="medium">
        <color rgb="FFD97706"/>
      </top>
      <bottom/>
      <diagonal/>
    </border>
    <border>
      <left style="thin">
        <color rgb="FFF4D6BD"/>
      </left>
      <right style="thin">
        <color rgb="FFF4D6BD"/>
      </right>
      <top style="medium">
        <color rgb="FFD97706"/>
      </top>
      <bottom/>
      <diagonal/>
    </border>
    <border>
      <left style="thin">
        <color rgb="FFF4D6BD"/>
      </left>
      <right style="medium">
        <color rgb="FFD97706"/>
      </right>
      <top style="medium">
        <color rgb="FFD97706"/>
      </top>
      <bottom/>
      <diagonal/>
    </border>
    <border>
      <left style="medium">
        <color rgb="FF94A3B8"/>
      </left>
      <right style="thin">
        <color rgb="FFF4D6BD"/>
      </right>
      <top style="medium">
        <color rgb="FFD97706"/>
      </top>
      <bottom/>
      <diagonal/>
    </border>
    <border>
      <left style="thin">
        <color rgb="FFF4D6BD"/>
      </left>
      <right style="medium">
        <color rgb="FF94A3B8"/>
      </right>
      <top style="medium">
        <color rgb="FFD97706"/>
      </top>
      <bottom/>
      <diagonal/>
    </border>
    <border>
      <left style="medium">
        <color rgb="FFC2410C"/>
      </left>
      <right style="thin">
        <color rgb="FFF4D6BD"/>
      </right>
      <top style="medium">
        <color rgb="FFC2410C"/>
      </top>
      <bottom style="medium">
        <color rgb="FFC2410C"/>
      </bottom>
      <diagonal/>
    </border>
    <border>
      <left style="thin">
        <color rgb="FFF4D6BD"/>
      </left>
      <right style="thin">
        <color rgb="FFF4D6BD"/>
      </right>
      <top style="medium">
        <color rgb="FFC2410C"/>
      </top>
      <bottom style="medium">
        <color rgb="FFC2410C"/>
      </bottom>
      <diagonal/>
    </border>
    <border>
      <left style="thin">
        <color rgb="FFF4D6BD"/>
      </left>
      <right style="medium">
        <color rgb="FFC2410C"/>
      </right>
      <top style="medium">
        <color rgb="FFC2410C"/>
      </top>
      <bottom style="medium">
        <color rgb="FFC2410C"/>
      </bottom>
      <diagonal/>
    </border>
    <border>
      <left/>
      <right style="thin">
        <color rgb="FFF4D6BD"/>
      </right>
      <top/>
      <bottom style="thin">
        <color rgb="FFD0D0D0"/>
      </bottom>
      <diagonal/>
    </border>
    <border>
      <left style="thin">
        <color rgb="FFF4D6BD"/>
      </left>
      <right style="thin">
        <color rgb="FFF4D6BD"/>
      </right>
      <top/>
      <bottom style="thin">
        <color rgb="FFD0D0D0"/>
      </bottom>
      <diagonal/>
    </border>
    <border>
      <left style="thin">
        <color rgb="FFF4D6BD"/>
      </left>
      <right/>
      <top/>
      <bottom style="thin">
        <color rgb="FFD0D0D0"/>
      </bottom>
      <diagonal/>
    </border>
    <border>
      <left/>
      <right style="thin">
        <color rgb="FFF4D6BD"/>
      </right>
      <top style="thin">
        <color rgb="FFD0D0D0"/>
      </top>
      <bottom style="thin">
        <color rgb="FFD0D0D0"/>
      </bottom>
      <diagonal/>
    </border>
    <border>
      <left style="thin">
        <color rgb="FFF4D6BD"/>
      </left>
      <right style="thin">
        <color rgb="FFF4D6BD"/>
      </right>
      <top style="thin">
        <color rgb="FFD0D0D0"/>
      </top>
      <bottom style="thin">
        <color rgb="FFD0D0D0"/>
      </bottom>
      <diagonal/>
    </border>
    <border>
      <left style="thin">
        <color rgb="FFF4D6BD"/>
      </left>
      <right/>
      <top style="thin">
        <color rgb="FFD0D0D0"/>
      </top>
      <bottom style="thin">
        <color rgb="FFD0D0D0"/>
      </bottom>
      <diagonal/>
    </border>
    <border>
      <left/>
      <right style="thin">
        <color rgb="FFF4D6BD"/>
      </right>
      <top style="thin">
        <color rgb="FFD0D0D0"/>
      </top>
      <bottom/>
      <diagonal/>
    </border>
    <border>
      <left style="thin">
        <color rgb="FFF4D6BD"/>
      </left>
      <right style="thin">
        <color rgb="FFF4D6BD"/>
      </right>
      <top style="thin">
        <color rgb="FFD0D0D0"/>
      </top>
      <bottom/>
      <diagonal/>
    </border>
    <border>
      <left style="thin">
        <color rgb="FFF4D6BD"/>
      </left>
      <right/>
      <top style="thin">
        <color rgb="FFD0D0D0"/>
      </top>
      <bottom/>
      <diagonal/>
    </border>
    <border>
      <left style="thin">
        <color rgb="FFF4D6BD"/>
      </left>
      <right/>
      <top style="medium">
        <color rgb="FFD97706"/>
      </top>
      <bottom/>
      <diagonal/>
    </border>
    <border>
      <left style="thin">
        <color rgb="FFF4D6BD"/>
      </left>
      <right/>
      <top style="medium">
        <color rgb="FFC2410C"/>
      </top>
      <bottom style="medium">
        <color rgb="FFC2410C"/>
      </bottom>
      <diagonal/>
    </border>
    <border>
      <left/>
      <right style="thin">
        <color rgb="FFF4D6BD"/>
      </right>
      <top style="medium">
        <color rgb="FFD97706"/>
      </top>
      <bottom/>
      <diagonal/>
    </border>
    <border>
      <left/>
      <right style="thin">
        <color rgb="FFF4D6BD"/>
      </right>
      <top style="medium">
        <color rgb="FFC2410C"/>
      </top>
      <bottom style="medium">
        <color rgb="FFC2410C"/>
      </bottom>
      <diagonal/>
    </border>
    <border>
      <left style="medium">
        <color rgb="FFC2410C"/>
      </left>
      <right style="medium">
        <color rgb="FFC2410C"/>
      </right>
      <top/>
      <bottom/>
      <diagonal/>
    </border>
    <border>
      <left style="medium">
        <color rgb="FFC2410C"/>
      </left>
      <right style="medium">
        <color rgb="FFC2410C"/>
      </right>
      <top style="medium">
        <color rgb="FFD97706"/>
      </top>
      <bottom/>
      <diagonal/>
    </border>
    <border>
      <left style="medium">
        <color rgb="FFC2410C"/>
      </left>
      <right style="medium">
        <color rgb="FFC2410C"/>
      </right>
      <top/>
      <bottom style="thin">
        <color rgb="FFD0D0D0"/>
      </bottom>
      <diagonal/>
    </border>
    <border>
      <left style="medium">
        <color rgb="FFC2410C"/>
      </left>
      <right style="medium">
        <color rgb="FFC2410C"/>
      </right>
      <top style="thin">
        <color rgb="FFD0D0D0"/>
      </top>
      <bottom style="thin">
        <color rgb="FFD0D0D0"/>
      </bottom>
      <diagonal/>
    </border>
    <border>
      <left style="medium">
        <color rgb="FFC2410C"/>
      </left>
      <right style="medium">
        <color rgb="FFC2410C"/>
      </right>
      <top style="thin">
        <color rgb="FFD0D0D0"/>
      </top>
      <bottom/>
      <diagonal/>
    </border>
  </borders>
  <cellStyleXfs count="1">
    <xf numFmtId="0" fontId="0" fillId="0" borderId="0"/>
  </cellStyleXfs>
  <cellXfs count="230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/>
    <xf numFmtId="0" fontId="0" fillId="3" borderId="0" xfId="0" applyFill="1" applyBorder="1"/>
    <xf numFmtId="0" fontId="0" fillId="2" borderId="0" xfId="0" applyFill="1" applyBorder="1"/>
    <xf numFmtId="0" fontId="11" fillId="2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0" xfId="0" applyFont="1" applyFill="1" applyBorder="1"/>
    <xf numFmtId="0" fontId="0" fillId="4" borderId="0" xfId="0" applyFill="1" applyBorder="1"/>
    <xf numFmtId="0" fontId="4" fillId="4" borderId="0" xfId="0" applyFont="1" applyFill="1" applyBorder="1"/>
    <xf numFmtId="0" fontId="5" fillId="4" borderId="0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7" fillId="4" borderId="0" xfId="0" applyFont="1" applyFill="1" applyBorder="1" applyAlignment="1">
      <alignment horizontal="left" vertical="center"/>
    </xf>
    <xf numFmtId="0" fontId="13" fillId="4" borderId="2" xfId="0" applyFont="1" applyFill="1" applyBorder="1" applyAlignment="1">
      <alignment vertical="center" indent="1"/>
    </xf>
    <xf numFmtId="0" fontId="4" fillId="5" borderId="0" xfId="0" applyFont="1" applyFill="1" applyBorder="1"/>
    <xf numFmtId="0" fontId="16" fillId="4" borderId="0" xfId="0" applyFont="1" applyFill="1" applyBorder="1" applyAlignment="1">
      <alignment vertical="center" indent="2"/>
    </xf>
    <xf numFmtId="0" fontId="8" fillId="2" borderId="5" xfId="0" applyFont="1" applyFill="1" applyBorder="1" applyAlignment="1">
      <alignment vertical="center" indent="1"/>
    </xf>
    <xf numFmtId="0" fontId="10" fillId="2" borderId="6" xfId="0" applyFont="1" applyFill="1" applyBorder="1" applyAlignment="1">
      <alignment horizontal="right" vertical="center" indent="1"/>
    </xf>
    <xf numFmtId="0" fontId="9" fillId="2" borderId="9" xfId="0" applyFont="1" applyFill="1" applyBorder="1"/>
    <xf numFmtId="0" fontId="11" fillId="2" borderId="10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vertical="center"/>
    </xf>
    <xf numFmtId="0" fontId="11" fillId="2" borderId="16" xfId="0" applyFont="1" applyFill="1" applyBorder="1" applyAlignment="1">
      <alignment horizontal="left" vertical="center" indent="1"/>
    </xf>
    <xf numFmtId="0" fontId="17" fillId="2" borderId="16" xfId="0" applyFont="1" applyFill="1" applyBorder="1" applyAlignment="1">
      <alignment horizontal="left" vertical="center" indent="1"/>
    </xf>
    <xf numFmtId="0" fontId="17" fillId="2" borderId="17" xfId="0" applyFont="1" applyFill="1" applyBorder="1" applyAlignment="1">
      <alignment horizontal="left" vertical="center" indent="1"/>
    </xf>
    <xf numFmtId="0" fontId="17" fillId="2" borderId="18" xfId="0" applyFont="1" applyFill="1" applyBorder="1" applyAlignment="1">
      <alignment horizontal="left" vertical="center" indent="1"/>
    </xf>
    <xf numFmtId="0" fontId="13" fillId="4" borderId="1" xfId="0" applyFont="1" applyFill="1" applyBorder="1" applyAlignment="1">
      <alignment vertical="center" indent="1"/>
    </xf>
    <xf numFmtId="0" fontId="0" fillId="2" borderId="21" xfId="0" applyFill="1" applyBorder="1"/>
    <xf numFmtId="0" fontId="14" fillId="2" borderId="22" xfId="0" applyFont="1" applyFill="1" applyBorder="1" applyAlignment="1">
      <alignment vertical="center" indent="1"/>
    </xf>
    <xf numFmtId="0" fontId="17" fillId="2" borderId="22" xfId="0" applyFont="1" applyFill="1" applyBorder="1" applyAlignment="1">
      <alignment horizontal="left" vertical="center" indent="1"/>
    </xf>
    <xf numFmtId="0" fontId="17" fillId="2" borderId="23" xfId="0" applyFont="1" applyFill="1" applyBorder="1" applyAlignment="1">
      <alignment horizontal="left" vertical="center" indent="1"/>
    </xf>
    <xf numFmtId="0" fontId="17" fillId="2" borderId="23" xfId="0" applyFont="1" applyFill="1" applyBorder="1" applyAlignment="1">
      <alignment vertical="center" indent="1"/>
    </xf>
    <xf numFmtId="0" fontId="17" fillId="2" borderId="24" xfId="0" applyFont="1" applyFill="1" applyBorder="1" applyAlignment="1">
      <alignment vertical="center" indent="1"/>
    </xf>
    <xf numFmtId="0" fontId="13" fillId="2" borderId="25" xfId="0" applyFont="1" applyFill="1" applyBorder="1" applyAlignment="1">
      <alignment vertical="center" indent="1"/>
    </xf>
    <xf numFmtId="0" fontId="17" fillId="2" borderId="22" xfId="0" applyFont="1" applyFill="1" applyBorder="1" applyAlignment="1">
      <alignment vertical="center" indent="1"/>
    </xf>
    <xf numFmtId="0" fontId="0" fillId="2" borderId="25" xfId="0" applyFill="1" applyBorder="1"/>
    <xf numFmtId="0" fontId="12" fillId="2" borderId="13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left" vertical="center" indent="1"/>
    </xf>
    <xf numFmtId="0" fontId="18" fillId="4" borderId="0" xfId="0" applyFont="1" applyFill="1" applyAlignment="1">
      <alignment horizontal="left" vertical="center"/>
    </xf>
    <xf numFmtId="0" fontId="18" fillId="5" borderId="0" xfId="0" applyFont="1" applyFill="1" applyBorder="1" applyAlignment="1">
      <alignment vertical="center" indent="2"/>
    </xf>
    <xf numFmtId="0" fontId="18" fillId="5" borderId="0" xfId="0" applyFont="1" applyFill="1" applyAlignment="1">
      <alignment horizontal="left" vertical="center"/>
    </xf>
    <xf numFmtId="0" fontId="19" fillId="2" borderId="8" xfId="0" applyFont="1" applyFill="1" applyBorder="1" applyAlignment="1">
      <alignment horizontal="left" vertical="center" indent="1"/>
    </xf>
    <xf numFmtId="0" fontId="19" fillId="2" borderId="20" xfId="0" applyFont="1" applyFill="1" applyBorder="1" applyAlignment="1">
      <alignment horizontal="left" vertical="center" indent="1"/>
    </xf>
    <xf numFmtId="0" fontId="19" fillId="2" borderId="20" xfId="0" applyFont="1" applyFill="1" applyBorder="1" applyAlignment="1">
      <alignment vertical="center" indent="1"/>
    </xf>
    <xf numFmtId="0" fontId="20" fillId="6" borderId="14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22" fillId="2" borderId="22" xfId="0" applyFont="1" applyFill="1" applyBorder="1" applyAlignment="1">
      <alignment horizontal="left" indent="1"/>
    </xf>
    <xf numFmtId="0" fontId="23" fillId="6" borderId="22" xfId="0" applyFont="1" applyFill="1" applyBorder="1" applyAlignment="1">
      <alignment horizontal="center"/>
    </xf>
    <xf numFmtId="0" fontId="24" fillId="2" borderId="22" xfId="0" applyFont="1" applyFill="1" applyBorder="1" applyAlignment="1">
      <alignment horizontal="center"/>
    </xf>
    <xf numFmtId="0" fontId="22" fillId="2" borderId="22" xfId="0" applyFont="1" applyFill="1" applyBorder="1" applyAlignment="1">
      <alignment horizontal="center"/>
    </xf>
    <xf numFmtId="0" fontId="24" fillId="9" borderId="22" xfId="0" applyFont="1" applyFill="1" applyBorder="1" applyAlignment="1">
      <alignment horizontal="center"/>
    </xf>
    <xf numFmtId="0" fontId="22" fillId="9" borderId="22" xfId="0" applyFont="1" applyFill="1" applyBorder="1" applyAlignment="1">
      <alignment horizontal="center"/>
    </xf>
    <xf numFmtId="0" fontId="25" fillId="2" borderId="22" xfId="0" applyFont="1" applyFill="1" applyBorder="1" applyAlignment="1">
      <alignment horizontal="center"/>
    </xf>
    <xf numFmtId="0" fontId="22" fillId="2" borderId="25" xfId="0" applyFont="1" applyFill="1" applyBorder="1" applyAlignment="1">
      <alignment horizontal="left" indent="1"/>
    </xf>
    <xf numFmtId="0" fontId="23" fillId="6" borderId="25" xfId="0" applyFont="1" applyFill="1" applyBorder="1" applyAlignment="1">
      <alignment horizontal="center"/>
    </xf>
    <xf numFmtId="0" fontId="24" fillId="9" borderId="25" xfId="0" applyFont="1" applyFill="1" applyBorder="1" applyAlignment="1">
      <alignment horizontal="center"/>
    </xf>
    <xf numFmtId="0" fontId="22" fillId="9" borderId="25" xfId="0" applyFont="1" applyFill="1" applyBorder="1" applyAlignment="1">
      <alignment horizontal="center"/>
    </xf>
    <xf numFmtId="0" fontId="28" fillId="8" borderId="27" xfId="0" applyFont="1" applyFill="1" applyBorder="1" applyAlignment="1">
      <alignment horizontal="center" vertical="center"/>
    </xf>
    <xf numFmtId="0" fontId="29" fillId="8" borderId="28" xfId="0" applyFont="1" applyFill="1" applyBorder="1" applyAlignment="1">
      <alignment horizontal="center" vertical="center"/>
    </xf>
    <xf numFmtId="0" fontId="29" fillId="8" borderId="29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0" fillId="10" borderId="30" xfId="0" applyFont="1" applyFill="1" applyBorder="1" applyAlignment="1">
      <alignment horizontal="center" vertical="center"/>
    </xf>
    <xf numFmtId="0" fontId="31" fillId="10" borderId="28" xfId="0" applyFont="1" applyFill="1" applyBorder="1" applyAlignment="1">
      <alignment horizontal="center" vertical="center"/>
    </xf>
    <xf numFmtId="0" fontId="31" fillId="10" borderId="31" xfId="0" applyFont="1" applyFill="1" applyBorder="1" applyAlignment="1">
      <alignment horizontal="center" vertical="center"/>
    </xf>
    <xf numFmtId="0" fontId="32" fillId="11" borderId="32" xfId="0" applyFont="1" applyFill="1" applyBorder="1" applyAlignment="1">
      <alignment horizontal="center" vertical="center"/>
    </xf>
    <xf numFmtId="0" fontId="33" fillId="11" borderId="33" xfId="0" applyFont="1" applyFill="1" applyBorder="1" applyAlignment="1">
      <alignment horizontal="center" vertical="center"/>
    </xf>
    <xf numFmtId="0" fontId="33" fillId="11" borderId="34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6" fillId="9" borderId="35" xfId="0" applyFont="1" applyFill="1" applyBorder="1" applyAlignment="1">
      <alignment horizontal="center" vertical="center"/>
    </xf>
    <xf numFmtId="0" fontId="24" fillId="9" borderId="36" xfId="0" applyFont="1" applyFill="1" applyBorder="1" applyAlignment="1">
      <alignment horizontal="center" vertical="center"/>
    </xf>
    <xf numFmtId="0" fontId="24" fillId="9" borderId="37" xfId="0" applyFont="1" applyFill="1" applyBorder="1" applyAlignment="1">
      <alignment horizontal="center" vertical="center"/>
    </xf>
    <xf numFmtId="0" fontId="26" fillId="2" borderId="38" xfId="0" applyFont="1" applyFill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0" fontId="24" fillId="2" borderId="40" xfId="0" applyFont="1" applyFill="1" applyBorder="1" applyAlignment="1">
      <alignment horizontal="center" vertical="center"/>
    </xf>
    <xf numFmtId="0" fontId="26" fillId="9" borderId="38" xfId="0" applyFont="1" applyFill="1" applyBorder="1" applyAlignment="1">
      <alignment horizontal="center" vertical="center"/>
    </xf>
    <xf numFmtId="0" fontId="24" fillId="9" borderId="39" xfId="0" applyFont="1" applyFill="1" applyBorder="1" applyAlignment="1">
      <alignment horizontal="center" vertical="center"/>
    </xf>
    <xf numFmtId="0" fontId="24" fillId="9" borderId="40" xfId="0" applyFont="1" applyFill="1" applyBorder="1" applyAlignment="1">
      <alignment horizontal="center" vertical="center"/>
    </xf>
    <xf numFmtId="0" fontId="26" fillId="9" borderId="41" xfId="0" applyFont="1" applyFill="1" applyBorder="1" applyAlignment="1">
      <alignment horizontal="center" vertical="center"/>
    </xf>
    <xf numFmtId="0" fontId="24" fillId="9" borderId="42" xfId="0" applyFont="1" applyFill="1" applyBorder="1" applyAlignment="1">
      <alignment horizontal="center" vertical="center"/>
    </xf>
    <xf numFmtId="0" fontId="24" fillId="9" borderId="43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29" fillId="8" borderId="44" xfId="0" applyFont="1" applyFill="1" applyBorder="1" applyAlignment="1">
      <alignment horizontal="left" vertical="center"/>
    </xf>
    <xf numFmtId="0" fontId="31" fillId="10" borderId="44" xfId="0" applyFont="1" applyFill="1" applyBorder="1" applyAlignment="1">
      <alignment horizontal="left" vertical="center"/>
    </xf>
    <xf numFmtId="0" fontId="33" fillId="11" borderId="45" xfId="0" applyFont="1" applyFill="1" applyBorder="1" applyAlignment="1">
      <alignment horizontal="left" vertical="center"/>
    </xf>
    <xf numFmtId="0" fontId="27" fillId="9" borderId="37" xfId="0" applyFont="1" applyFill="1" applyBorder="1" applyAlignment="1">
      <alignment horizontal="left" vertical="center"/>
    </xf>
    <xf numFmtId="0" fontId="27" fillId="2" borderId="40" xfId="0" applyFont="1" applyFill="1" applyBorder="1" applyAlignment="1">
      <alignment horizontal="left" vertical="center"/>
    </xf>
    <xf numFmtId="0" fontId="27" fillId="9" borderId="40" xfId="0" applyFont="1" applyFill="1" applyBorder="1" applyAlignment="1">
      <alignment horizontal="left" vertical="center"/>
    </xf>
    <xf numFmtId="0" fontId="27" fillId="9" borderId="43" xfId="0" applyFont="1" applyFill="1" applyBorder="1" applyAlignment="1">
      <alignment horizontal="left" vertical="center"/>
    </xf>
    <xf numFmtId="0" fontId="29" fillId="8" borderId="46" xfId="0" applyFont="1" applyFill="1" applyBorder="1" applyAlignment="1">
      <alignment horizontal="center" vertical="center"/>
    </xf>
    <xf numFmtId="0" fontId="31" fillId="10" borderId="46" xfId="0" applyFont="1" applyFill="1" applyBorder="1" applyAlignment="1">
      <alignment horizontal="center" vertical="center"/>
    </xf>
    <xf numFmtId="0" fontId="33" fillId="11" borderId="47" xfId="0" applyFont="1" applyFill="1" applyBorder="1" applyAlignment="1">
      <alignment horizontal="center" vertical="center"/>
    </xf>
    <xf numFmtId="0" fontId="24" fillId="9" borderId="35" xfId="0" applyFont="1" applyFill="1" applyBorder="1" applyAlignment="1">
      <alignment horizontal="center" vertical="center"/>
    </xf>
    <xf numFmtId="0" fontId="24" fillId="2" borderId="38" xfId="0" applyFont="1" applyFill="1" applyBorder="1" applyAlignment="1">
      <alignment horizontal="center" vertical="center"/>
    </xf>
    <xf numFmtId="0" fontId="24" fillId="9" borderId="38" xfId="0" applyFont="1" applyFill="1" applyBorder="1" applyAlignment="1">
      <alignment horizontal="center" vertical="center"/>
    </xf>
    <xf numFmtId="0" fontId="24" fillId="9" borderId="41" xfId="0" applyFont="1" applyFill="1" applyBorder="1" applyAlignment="1">
      <alignment horizontal="center" vertical="center"/>
    </xf>
    <xf numFmtId="0" fontId="2" fillId="5" borderId="48" xfId="0" applyFont="1" applyFill="1" applyBorder="1" applyAlignment="1">
      <alignment horizontal="center" vertical="center"/>
    </xf>
    <xf numFmtId="0" fontId="35" fillId="8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37" fillId="11" borderId="26" xfId="0" applyFont="1" applyFill="1" applyBorder="1" applyAlignment="1">
      <alignment horizontal="center" vertical="center"/>
    </xf>
    <xf numFmtId="0" fontId="34" fillId="6" borderId="50" xfId="0" applyFont="1" applyFill="1" applyBorder="1" applyAlignment="1">
      <alignment horizontal="center" vertical="center"/>
    </xf>
    <xf numFmtId="0" fontId="34" fillId="6" borderId="51" xfId="0" applyFont="1" applyFill="1" applyBorder="1" applyAlignment="1">
      <alignment horizontal="center" vertical="center"/>
    </xf>
    <xf numFmtId="0" fontId="34" fillId="6" borderId="52" xfId="0" applyFont="1" applyFill="1" applyBorder="1" applyAlignment="1">
      <alignment horizontal="center" vertical="center"/>
    </xf>
    <xf numFmtId="0" fontId="3" fillId="4" borderId="0" xfId="0" applyFont="1" applyFill="1"/>
    <xf numFmtId="0" fontId="0" fillId="4" borderId="0" xfId="0" applyFill="1"/>
    <xf numFmtId="0" fontId="3" fillId="2" borderId="6" xfId="0" applyFont="1" applyFill="1" applyBorder="1"/>
    <xf numFmtId="0" fontId="3" fillId="2" borderId="8" xfId="0" applyFont="1" applyFill="1" applyBorder="1"/>
    <xf numFmtId="0" fontId="3" fillId="2" borderId="14" xfId="0" applyFont="1" applyFill="1" applyBorder="1"/>
    <xf numFmtId="0" fontId="41" fillId="4" borderId="0" xfId="0" applyFont="1" applyFill="1" applyAlignment="1">
      <alignment horizontal="left" vertical="center"/>
    </xf>
    <xf numFmtId="0" fontId="42" fillId="4" borderId="0" xfId="0" applyFont="1" applyFill="1"/>
    <xf numFmtId="0" fontId="0" fillId="2" borderId="7" xfId="0" applyFill="1" applyBorder="1"/>
    <xf numFmtId="0" fontId="0" fillId="2" borderId="16" xfId="0" applyFill="1" applyBorder="1"/>
    <xf numFmtId="0" fontId="0" fillId="2" borderId="19" xfId="0" applyFill="1" applyBorder="1"/>
    <xf numFmtId="0" fontId="3" fillId="2" borderId="6" xfId="0" applyFont="1" applyFill="1" applyBorder="1"/>
    <xf numFmtId="0" fontId="3" fillId="2" borderId="14" xfId="0" applyFont="1" applyFill="1" applyBorder="1"/>
    <xf numFmtId="0" fontId="44" fillId="2" borderId="8" xfId="0" applyFont="1" applyFill="1" applyBorder="1" applyAlignment="1">
      <alignment horizontal="left" vertical="center"/>
    </xf>
    <xf numFmtId="0" fontId="45" fillId="5" borderId="10" xfId="0" applyFont="1" applyFill="1" applyBorder="1" applyAlignment="1">
      <alignment horizontal="center"/>
    </xf>
    <xf numFmtId="0" fontId="45" fillId="5" borderId="0" xfId="0" applyFont="1" applyFill="1" applyBorder="1" applyAlignment="1">
      <alignment horizontal="center"/>
    </xf>
    <xf numFmtId="0" fontId="46" fillId="5" borderId="16" xfId="0" applyFont="1" applyFill="1" applyBorder="1" applyAlignment="1">
      <alignment horizontal="center"/>
    </xf>
    <xf numFmtId="0" fontId="48" fillId="6" borderId="10" xfId="0" applyFont="1" applyFill="1" applyBorder="1" applyAlignment="1">
      <alignment horizontal="center"/>
    </xf>
    <xf numFmtId="0" fontId="48" fillId="6" borderId="13" xfId="0" applyFont="1" applyFill="1" applyBorder="1" applyAlignment="1">
      <alignment horizontal="center"/>
    </xf>
    <xf numFmtId="0" fontId="50" fillId="2" borderId="0" xfId="0" applyFont="1" applyFill="1" applyBorder="1" applyAlignment="1">
      <alignment horizontal="center"/>
    </xf>
    <xf numFmtId="0" fontId="52" fillId="2" borderId="0" xfId="0" applyFont="1" applyFill="1" applyBorder="1" applyAlignment="1">
      <alignment horizontal="center"/>
    </xf>
    <xf numFmtId="0" fontId="54" fillId="2" borderId="0" xfId="0" applyFont="1" applyFill="1" applyBorder="1" applyAlignment="1">
      <alignment horizontal="center"/>
    </xf>
    <xf numFmtId="0" fontId="56" fillId="2" borderId="16" xfId="0" applyFont="1" applyFill="1" applyBorder="1" applyAlignment="1">
      <alignment horizontal="center"/>
    </xf>
    <xf numFmtId="0" fontId="50" fillId="9" borderId="0" xfId="0" applyFont="1" applyFill="1" applyBorder="1" applyAlignment="1">
      <alignment horizontal="center"/>
    </xf>
    <xf numFmtId="0" fontId="52" fillId="9" borderId="0" xfId="0" applyFont="1" applyFill="1" applyBorder="1" applyAlignment="1">
      <alignment horizontal="center"/>
    </xf>
    <xf numFmtId="0" fontId="54" fillId="9" borderId="0" xfId="0" applyFont="1" applyFill="1" applyBorder="1" applyAlignment="1">
      <alignment horizontal="center"/>
    </xf>
    <xf numFmtId="0" fontId="56" fillId="9" borderId="16" xfId="0" applyFont="1" applyFill="1" applyBorder="1" applyAlignment="1">
      <alignment horizontal="center"/>
    </xf>
    <xf numFmtId="0" fontId="50" fillId="9" borderId="7" xfId="0" applyFont="1" applyFill="1" applyBorder="1" applyAlignment="1">
      <alignment horizontal="center"/>
    </xf>
    <xf numFmtId="0" fontId="52" fillId="9" borderId="7" xfId="0" applyFont="1" applyFill="1" applyBorder="1" applyAlignment="1">
      <alignment horizontal="center"/>
    </xf>
    <xf numFmtId="0" fontId="54" fillId="9" borderId="7" xfId="0" applyFont="1" applyFill="1" applyBorder="1" applyAlignment="1">
      <alignment horizontal="center"/>
    </xf>
    <xf numFmtId="0" fontId="56" fillId="9" borderId="19" xfId="0" applyFont="1" applyFill="1" applyBorder="1" applyAlignment="1">
      <alignment horizontal="center"/>
    </xf>
    <xf numFmtId="0" fontId="3" fillId="8" borderId="8" xfId="0" applyFont="1" applyFill="1" applyBorder="1"/>
    <xf numFmtId="0" fontId="3" fillId="8" borderId="6" xfId="0" applyFont="1" applyFill="1" applyBorder="1"/>
    <xf numFmtId="0" fontId="3" fillId="8" borderId="14" xfId="0" applyFont="1" applyFill="1" applyBorder="1"/>
    <xf numFmtId="0" fontId="0" fillId="8" borderId="0" xfId="0" applyFill="1" applyBorder="1"/>
    <xf numFmtId="0" fontId="0" fillId="8" borderId="16" xfId="0" applyFill="1" applyBorder="1"/>
    <xf numFmtId="0" fontId="0" fillId="8" borderId="10" xfId="0" applyFill="1" applyBorder="1"/>
    <xf numFmtId="0" fontId="3" fillId="12" borderId="8" xfId="0" applyFont="1" applyFill="1" applyBorder="1"/>
    <xf numFmtId="0" fontId="3" fillId="12" borderId="6" xfId="0" applyFont="1" applyFill="1" applyBorder="1"/>
    <xf numFmtId="0" fontId="3" fillId="12" borderId="14" xfId="0" applyFont="1" applyFill="1" applyBorder="1"/>
    <xf numFmtId="0" fontId="0" fillId="12" borderId="0" xfId="0" applyFill="1" applyBorder="1"/>
    <xf numFmtId="0" fontId="0" fillId="12" borderId="16" xfId="0" applyFill="1" applyBorder="1"/>
    <xf numFmtId="0" fontId="0" fillId="12" borderId="10" xfId="0" applyFill="1" applyBorder="1"/>
    <xf numFmtId="0" fontId="3" fillId="13" borderId="8" xfId="0" applyFont="1" applyFill="1" applyBorder="1"/>
    <xf numFmtId="0" fontId="3" fillId="13" borderId="6" xfId="0" applyFont="1" applyFill="1" applyBorder="1"/>
    <xf numFmtId="0" fontId="3" fillId="13" borderId="14" xfId="0" applyFont="1" applyFill="1" applyBorder="1"/>
    <xf numFmtId="0" fontId="0" fillId="13" borderId="0" xfId="0" applyFill="1" applyBorder="1"/>
    <xf numFmtId="0" fontId="0" fillId="13" borderId="16" xfId="0" applyFill="1" applyBorder="1"/>
    <xf numFmtId="0" fontId="0" fillId="13" borderId="10" xfId="0" applyFill="1" applyBorder="1"/>
    <xf numFmtId="0" fontId="3" fillId="7" borderId="8" xfId="0" applyFont="1" applyFill="1" applyBorder="1"/>
    <xf numFmtId="0" fontId="3" fillId="7" borderId="6" xfId="0" applyFont="1" applyFill="1" applyBorder="1"/>
    <xf numFmtId="0" fontId="3" fillId="7" borderId="14" xfId="0" applyFont="1" applyFill="1" applyBorder="1"/>
    <xf numFmtId="0" fontId="0" fillId="7" borderId="0" xfId="0" applyFill="1" applyBorder="1"/>
    <xf numFmtId="0" fontId="0" fillId="7" borderId="16" xfId="0" applyFill="1" applyBorder="1"/>
    <xf numFmtId="0" fontId="0" fillId="7" borderId="10" xfId="0" applyFill="1" applyBorder="1"/>
    <xf numFmtId="0" fontId="43" fillId="2" borderId="10" xfId="0" applyFont="1" applyFill="1" applyBorder="1"/>
    <xf numFmtId="0" fontId="0" fillId="2" borderId="13" xfId="0" applyFill="1" applyBorder="1"/>
    <xf numFmtId="0" fontId="38" fillId="2" borderId="10" xfId="0" applyFont="1" applyFill="1" applyBorder="1"/>
    <xf numFmtId="0" fontId="23" fillId="2" borderId="0" xfId="0" applyFont="1" applyFill="1" applyBorder="1" applyAlignment="1">
      <alignment horizontal="right"/>
    </xf>
    <xf numFmtId="0" fontId="0" fillId="9" borderId="0" xfId="0" applyFill="1" applyBorder="1"/>
    <xf numFmtId="0" fontId="38" fillId="9" borderId="10" xfId="0" applyFont="1" applyFill="1" applyBorder="1"/>
    <xf numFmtId="0" fontId="23" fillId="9" borderId="0" xfId="0" applyFont="1" applyFill="1" applyBorder="1" applyAlignment="1">
      <alignment horizontal="right"/>
    </xf>
    <xf numFmtId="0" fontId="23" fillId="2" borderId="16" xfId="0" applyFont="1" applyFill="1" applyBorder="1" applyAlignment="1">
      <alignment horizontal="right"/>
    </xf>
    <xf numFmtId="0" fontId="3" fillId="4" borderId="6" xfId="0" applyFont="1" applyFill="1" applyBorder="1"/>
    <xf numFmtId="0" fontId="23" fillId="9" borderId="16" xfId="0" applyFont="1" applyFill="1" applyBorder="1" applyAlignment="1">
      <alignment horizontal="right"/>
    </xf>
    <xf numFmtId="0" fontId="59" fillId="12" borderId="0" xfId="0" applyFont="1" applyFill="1" applyBorder="1" applyAlignment="1">
      <alignment horizontal="center" vertical="center"/>
    </xf>
    <xf numFmtId="0" fontId="57" fillId="8" borderId="0" xfId="0" applyFont="1" applyFill="1" applyBorder="1" applyAlignment="1">
      <alignment horizontal="center" vertical="center"/>
    </xf>
    <xf numFmtId="0" fontId="63" fillId="7" borderId="0" xfId="0" applyFont="1" applyFill="1" applyBorder="1" applyAlignment="1">
      <alignment horizontal="center" vertical="center"/>
    </xf>
    <xf numFmtId="0" fontId="61" fillId="13" borderId="0" xfId="0" applyFont="1" applyFill="1" applyBorder="1" applyAlignment="1">
      <alignment horizontal="center" vertical="center"/>
    </xf>
    <xf numFmtId="0" fontId="57" fillId="8" borderId="0" xfId="0" applyFont="1" applyFill="1" applyBorder="1" applyAlignment="1">
      <alignment horizontal="center" vertical="center"/>
    </xf>
    <xf numFmtId="0" fontId="59" fillId="12" borderId="0" xfId="0" applyFont="1" applyFill="1" applyBorder="1" applyAlignment="1">
      <alignment horizontal="center" vertical="center"/>
    </xf>
    <xf numFmtId="0" fontId="61" fillId="13" borderId="0" xfId="0" applyFont="1" applyFill="1" applyBorder="1" applyAlignment="1">
      <alignment horizontal="center" vertical="center"/>
    </xf>
    <xf numFmtId="0" fontId="63" fillId="7" borderId="0" xfId="0" applyFont="1" applyFill="1" applyBorder="1" applyAlignment="1">
      <alignment horizontal="center" vertical="center"/>
    </xf>
    <xf numFmtId="0" fontId="39" fillId="9" borderId="0" xfId="0" applyFont="1" applyFill="1" applyBorder="1" applyAlignment="1">
      <alignment horizontal="left" vertical="center"/>
    </xf>
    <xf numFmtId="0" fontId="39" fillId="2" borderId="0" xfId="0" applyFont="1" applyFill="1" applyBorder="1" applyAlignment="1">
      <alignment horizontal="left" vertical="center"/>
    </xf>
    <xf numFmtId="0" fontId="39" fillId="9" borderId="7" xfId="0" applyFont="1" applyFill="1" applyBorder="1" applyAlignment="1">
      <alignment horizontal="left" vertical="center"/>
    </xf>
    <xf numFmtId="0" fontId="49" fillId="2" borderId="0" xfId="0" applyFont="1" applyFill="1" applyBorder="1" applyAlignment="1">
      <alignment horizontal="center"/>
    </xf>
    <xf numFmtId="0" fontId="51" fillId="2" borderId="0" xfId="0" applyFont="1" applyFill="1" applyBorder="1" applyAlignment="1">
      <alignment horizontal="center"/>
    </xf>
    <xf numFmtId="0" fontId="53" fillId="2" borderId="0" xfId="0" applyFont="1" applyFill="1" applyBorder="1" applyAlignment="1">
      <alignment horizontal="center"/>
    </xf>
    <xf numFmtId="0" fontId="39" fillId="2" borderId="0" xfId="0" applyFont="1" applyFill="1" applyBorder="1"/>
    <xf numFmtId="0" fontId="49" fillId="9" borderId="0" xfId="0" applyFont="1" applyFill="1" applyBorder="1" applyAlignment="1">
      <alignment horizontal="center"/>
    </xf>
    <xf numFmtId="0" fontId="51" fillId="9" borderId="0" xfId="0" applyFont="1" applyFill="1" applyBorder="1" applyAlignment="1">
      <alignment horizontal="center"/>
    </xf>
    <xf numFmtId="0" fontId="53" fillId="9" borderId="0" xfId="0" applyFont="1" applyFill="1" applyBorder="1" applyAlignment="1">
      <alignment horizontal="center"/>
    </xf>
    <xf numFmtId="0" fontId="39" fillId="9" borderId="0" xfId="0" applyFont="1" applyFill="1" applyBorder="1"/>
    <xf numFmtId="0" fontId="49" fillId="2" borderId="7" xfId="0" applyFont="1" applyFill="1" applyBorder="1" applyAlignment="1">
      <alignment horizontal="center"/>
    </xf>
    <xf numFmtId="0" fontId="51" fillId="2" borderId="7" xfId="0" applyFont="1" applyFill="1" applyBorder="1" applyAlignment="1">
      <alignment horizontal="center"/>
    </xf>
    <xf numFmtId="0" fontId="53" fillId="2" borderId="7" xfId="0" applyFont="1" applyFill="1" applyBorder="1" applyAlignment="1">
      <alignment horizontal="center"/>
    </xf>
    <xf numFmtId="0" fontId="39" fillId="2" borderId="7" xfId="0" applyFont="1" applyFill="1" applyBorder="1"/>
    <xf numFmtId="0" fontId="47" fillId="6" borderId="10" xfId="0" applyFont="1" applyFill="1" applyBorder="1" applyAlignment="1">
      <alignment horizontal="center"/>
    </xf>
    <xf numFmtId="0" fontId="47" fillId="6" borderId="13" xfId="0" applyFont="1" applyFill="1" applyBorder="1" applyAlignment="1">
      <alignment horizontal="center"/>
    </xf>
    <xf numFmtId="0" fontId="55" fillId="2" borderId="16" xfId="0" applyFont="1" applyFill="1" applyBorder="1" applyAlignment="1">
      <alignment horizontal="center"/>
    </xf>
    <xf numFmtId="0" fontId="55" fillId="9" borderId="16" xfId="0" applyFont="1" applyFill="1" applyBorder="1" applyAlignment="1">
      <alignment horizontal="center"/>
    </xf>
    <xf numFmtId="0" fontId="55" fillId="2" borderId="19" xfId="0" applyFont="1" applyFill="1" applyBorder="1" applyAlignment="1">
      <alignment horizontal="center"/>
    </xf>
    <xf numFmtId="0" fontId="57" fillId="4" borderId="0" xfId="0" applyFont="1" applyFill="1" applyBorder="1" applyAlignment="1">
      <alignment horizontal="center" vertical="center"/>
    </xf>
    <xf numFmtId="0" fontId="59" fillId="4" borderId="0" xfId="0" applyFont="1" applyFill="1" applyBorder="1" applyAlignment="1">
      <alignment horizontal="center" vertical="center"/>
    </xf>
    <xf numFmtId="0" fontId="61" fillId="4" borderId="0" xfId="0" applyFont="1" applyFill="1" applyBorder="1" applyAlignment="1">
      <alignment horizontal="center" vertical="center"/>
    </xf>
    <xf numFmtId="0" fontId="57" fillId="4" borderId="0" xfId="0" applyFont="1" applyFill="1" applyBorder="1" applyAlignment="1">
      <alignment horizontal="center" vertical="center"/>
    </xf>
    <xf numFmtId="0" fontId="59" fillId="4" borderId="0" xfId="0" applyFont="1" applyFill="1" applyBorder="1" applyAlignment="1">
      <alignment horizontal="center" vertical="center"/>
    </xf>
    <xf numFmtId="0" fontId="61" fillId="4" borderId="0" xfId="0" applyFont="1" applyFill="1" applyBorder="1" applyAlignment="1">
      <alignment horizontal="center" vertical="center"/>
    </xf>
    <xf numFmtId="0" fontId="40" fillId="8" borderId="10" xfId="0" applyFont="1" applyFill="1" applyBorder="1" applyAlignment="1">
      <alignment horizontal="center" vertical="center"/>
    </xf>
    <xf numFmtId="0" fontId="57" fillId="8" borderId="10" xfId="0" applyFont="1" applyFill="1" applyBorder="1" applyAlignment="1">
      <alignment horizontal="center" vertical="center"/>
    </xf>
    <xf numFmtId="0" fontId="57" fillId="8" borderId="16" xfId="0" applyFont="1" applyFill="1" applyBorder="1" applyAlignment="1">
      <alignment horizontal="center" vertical="center"/>
    </xf>
    <xf numFmtId="0" fontId="58" fillId="12" borderId="10" xfId="0" applyFont="1" applyFill="1" applyBorder="1" applyAlignment="1">
      <alignment horizontal="center" vertical="center"/>
    </xf>
    <xf numFmtId="0" fontId="59" fillId="12" borderId="10" xfId="0" applyFont="1" applyFill="1" applyBorder="1" applyAlignment="1">
      <alignment horizontal="center" vertical="center"/>
    </xf>
    <xf numFmtId="0" fontId="59" fillId="12" borderId="16" xfId="0" applyFont="1" applyFill="1" applyBorder="1" applyAlignment="1">
      <alignment horizontal="center" vertical="center"/>
    </xf>
    <xf numFmtId="0" fontId="60" fillId="13" borderId="10" xfId="0" applyFont="1" applyFill="1" applyBorder="1" applyAlignment="1">
      <alignment horizontal="center" vertical="center"/>
    </xf>
    <xf numFmtId="0" fontId="61" fillId="13" borderId="10" xfId="0" applyFont="1" applyFill="1" applyBorder="1" applyAlignment="1">
      <alignment horizontal="center" vertical="center"/>
    </xf>
    <xf numFmtId="0" fontId="61" fillId="13" borderId="16" xfId="0" applyFont="1" applyFill="1" applyBorder="1" applyAlignment="1">
      <alignment horizontal="center" vertical="center"/>
    </xf>
    <xf numFmtId="0" fontId="62" fillId="7" borderId="10" xfId="0" applyFont="1" applyFill="1" applyBorder="1" applyAlignment="1">
      <alignment horizontal="center" vertical="center"/>
    </xf>
    <xf numFmtId="0" fontId="63" fillId="7" borderId="10" xfId="0" applyFont="1" applyFill="1" applyBorder="1" applyAlignment="1">
      <alignment horizontal="center" vertical="center"/>
    </xf>
    <xf numFmtId="0" fontId="63" fillId="7" borderId="16" xfId="0" applyFont="1" applyFill="1" applyBorder="1" applyAlignment="1">
      <alignment horizontal="center" vertical="center"/>
    </xf>
    <xf numFmtId="0" fontId="57" fillId="8" borderId="10" xfId="0" applyFont="1" applyFill="1" applyBorder="1" applyAlignment="1">
      <alignment horizontal="center" vertical="center"/>
    </xf>
    <xf numFmtId="0" fontId="57" fillId="8" borderId="16" xfId="0" applyFont="1" applyFill="1" applyBorder="1" applyAlignment="1">
      <alignment horizontal="center" vertical="center"/>
    </xf>
    <xf numFmtId="0" fontId="59" fillId="12" borderId="10" xfId="0" applyFont="1" applyFill="1" applyBorder="1" applyAlignment="1">
      <alignment horizontal="center" vertical="center"/>
    </xf>
    <xf numFmtId="0" fontId="59" fillId="12" borderId="16" xfId="0" applyFont="1" applyFill="1" applyBorder="1" applyAlignment="1">
      <alignment horizontal="center" vertical="center"/>
    </xf>
    <xf numFmtId="0" fontId="61" fillId="13" borderId="10" xfId="0" applyFont="1" applyFill="1" applyBorder="1" applyAlignment="1">
      <alignment horizontal="center" vertical="center"/>
    </xf>
    <xf numFmtId="0" fontId="61" fillId="13" borderId="16" xfId="0" applyFont="1" applyFill="1" applyBorder="1" applyAlignment="1">
      <alignment horizontal="center" vertical="center"/>
    </xf>
    <xf numFmtId="0" fontId="63" fillId="7" borderId="10" xfId="0" applyFont="1" applyFill="1" applyBorder="1" applyAlignment="1">
      <alignment horizontal="center" vertical="center"/>
    </xf>
    <xf numFmtId="0" fontId="63" fillId="7" borderId="16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color rgb="FF7F6000"/>
      </font>
      <fill>
        <patternFill patternType="solid">
          <fgColor indexed="64"/>
          <bgColor rgb="FFFFD9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30505D9-6F82-4215-858A-896FB7501B1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c6433be-016c-4395-ba50-8ed986e35217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86E2-D5EC-499D-92CB-524F95258D5C}">
  <dimension ref="A1:Z100"/>
  <sheetViews>
    <sheetView tabSelected="1" zoomScale="85" zoomScaleNormal="85" workbookViewId="0">
      <selection activeCell="C21" sqref="C21"/>
    </sheetView>
  </sheetViews>
  <sheetFormatPr defaultRowHeight="14.25" x14ac:dyDescent="0.45"/>
  <cols>
    <col min="1" max="1" width="12.46484375" customWidth="1"/>
    <col min="2" max="2" width="16" customWidth="1"/>
    <col min="3" max="3" width="26.1328125" customWidth="1"/>
    <col min="4" max="4" width="2.3984375" style="51" customWidth="1"/>
    <col min="5" max="5" width="1.3984375" style="51" customWidth="1"/>
    <col min="6" max="6" width="35" customWidth="1"/>
    <col min="7" max="7" width="2.6640625" style="51" customWidth="1"/>
    <col min="8" max="8" width="56.86328125" customWidth="1"/>
    <col min="9" max="9" width="4.265625" style="51" customWidth="1"/>
  </cols>
  <sheetData>
    <row r="1" spans="1:26" ht="16.05" customHeight="1" x14ac:dyDescent="0.7">
      <c r="A1" s="6"/>
      <c r="B1" s="7"/>
      <c r="C1" s="7"/>
      <c r="D1" s="7"/>
      <c r="E1" s="7"/>
      <c r="F1" s="7"/>
      <c r="G1" s="8"/>
      <c r="H1" s="8"/>
      <c r="I1" s="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72" customHeight="1" x14ac:dyDescent="0.45">
      <c r="A2" s="41" t="s">
        <v>64</v>
      </c>
      <c r="B2" s="42"/>
      <c r="C2" s="42"/>
      <c r="D2" s="40"/>
      <c r="E2" s="40"/>
      <c r="F2" s="42"/>
      <c r="G2" s="9"/>
      <c r="H2" s="14"/>
      <c r="I2" s="9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 x14ac:dyDescent="0.45">
      <c r="A3" s="15" t="s">
        <v>65</v>
      </c>
      <c r="B3" s="10"/>
      <c r="C3" s="10"/>
      <c r="D3" s="11"/>
      <c r="E3" s="11"/>
      <c r="F3" s="11"/>
      <c r="G3" s="8"/>
      <c r="H3" s="8"/>
      <c r="I3" s="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0.049999999999997" customHeight="1" x14ac:dyDescent="0.45">
      <c r="A4" s="43" t="s">
        <v>18</v>
      </c>
      <c r="B4" s="17" t="s">
        <v>54</v>
      </c>
      <c r="C4" s="46">
        <v>13</v>
      </c>
      <c r="D4" s="12"/>
      <c r="E4" s="8"/>
      <c r="F4" s="44" t="s">
        <v>17</v>
      </c>
      <c r="G4" s="8"/>
      <c r="H4" s="45" t="s">
        <v>59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" customHeight="1" x14ac:dyDescent="0.45">
      <c r="A5" s="18"/>
      <c r="B5" s="16"/>
      <c r="C5" s="23"/>
      <c r="D5" s="8"/>
      <c r="E5" s="8"/>
      <c r="F5" s="29"/>
      <c r="G5" s="8"/>
      <c r="H5" s="29"/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 x14ac:dyDescent="0.45">
      <c r="A6" s="19" t="s">
        <v>55</v>
      </c>
      <c r="B6" s="5" t="s">
        <v>56</v>
      </c>
      <c r="C6" s="24" t="s">
        <v>57</v>
      </c>
      <c r="D6" s="8"/>
      <c r="E6" s="8"/>
      <c r="F6" s="30" t="s">
        <v>58</v>
      </c>
      <c r="G6" s="8"/>
      <c r="H6" s="36" t="s">
        <v>60</v>
      </c>
      <c r="I6" s="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customHeight="1" x14ac:dyDescent="0.45">
      <c r="A7" s="20">
        <f>IF(ROW()-6&lt;=$C$4,ROW()-6,"")</f>
        <v>1</v>
      </c>
      <c r="B7" s="47">
        <v>10</v>
      </c>
      <c r="C7" s="25" t="s">
        <v>49</v>
      </c>
      <c r="D7" s="8"/>
      <c r="E7" s="8"/>
      <c r="F7" s="31" t="s">
        <v>0</v>
      </c>
      <c r="G7" s="8"/>
      <c r="H7" s="36" t="s">
        <v>98</v>
      </c>
      <c r="I7" s="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customHeight="1" x14ac:dyDescent="0.45">
      <c r="A8" s="21">
        <f>IF(ROW()-6&lt;=$C$4,ROW()-6,"")</f>
        <v>2</v>
      </c>
      <c r="B8" s="48">
        <v>10</v>
      </c>
      <c r="C8" s="26" t="s">
        <v>50</v>
      </c>
      <c r="D8" s="8"/>
      <c r="E8" s="8"/>
      <c r="F8" s="32" t="s">
        <v>1</v>
      </c>
      <c r="G8" s="8"/>
      <c r="H8" s="36" t="s">
        <v>61</v>
      </c>
      <c r="I8" s="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 customHeight="1" x14ac:dyDescent="0.45">
      <c r="A9" s="21">
        <f>IF(ROW()-6&lt;=$C$4,ROW()-6,"")</f>
        <v>3</v>
      </c>
      <c r="B9" s="48">
        <v>10</v>
      </c>
      <c r="C9" s="26" t="s">
        <v>51</v>
      </c>
      <c r="D9" s="8"/>
      <c r="E9" s="8"/>
      <c r="F9" s="32" t="s">
        <v>2</v>
      </c>
      <c r="G9" s="8"/>
      <c r="H9" s="36" t="s">
        <v>62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 customHeight="1" x14ac:dyDescent="0.45">
      <c r="A10" s="21">
        <f>IF(ROW()-6&lt;=$C$4,ROW()-6,"")</f>
        <v>4</v>
      </c>
      <c r="B10" s="48">
        <v>20</v>
      </c>
      <c r="C10" s="26" t="s">
        <v>46</v>
      </c>
      <c r="D10" s="8"/>
      <c r="E10" s="8"/>
      <c r="F10" s="32" t="s">
        <v>3</v>
      </c>
      <c r="G10" s="8"/>
      <c r="H10" s="36" t="s">
        <v>63</v>
      </c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 customHeight="1" x14ac:dyDescent="0.45">
      <c r="A11" s="21">
        <f>IF(ROW()-6&lt;=$C$4,ROW()-6,"")</f>
        <v>5</v>
      </c>
      <c r="B11" s="48">
        <v>10</v>
      </c>
      <c r="C11" s="26" t="s">
        <v>52</v>
      </c>
      <c r="D11" s="8"/>
      <c r="E11" s="8"/>
      <c r="F11" s="32" t="s">
        <v>4</v>
      </c>
      <c r="G11" s="8"/>
      <c r="H11" s="37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45">
      <c r="A12" s="21">
        <f>IF(ROW()-6&lt;=$C$4,ROW()-6,"")</f>
        <v>6</v>
      </c>
      <c r="B12" s="48">
        <v>10</v>
      </c>
      <c r="C12" s="26" t="str">
        <f>IF(A12="","","Round "&amp;A12)</f>
        <v>Round 6</v>
      </c>
      <c r="D12" s="8"/>
      <c r="E12" s="8"/>
      <c r="F12" s="32" t="s">
        <v>5</v>
      </c>
      <c r="G12" s="8"/>
      <c r="H12" s="8"/>
      <c r="I12" s="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 x14ac:dyDescent="0.45">
      <c r="A13" s="21">
        <f>IF(ROW()-6&lt;=$C$4,ROW()-6,"")</f>
        <v>7</v>
      </c>
      <c r="B13" s="48">
        <v>10</v>
      </c>
      <c r="C13" s="26" t="str">
        <f>IF(A13="","","Round "&amp;A13)</f>
        <v>Round 7</v>
      </c>
      <c r="D13" s="8"/>
      <c r="E13" s="8"/>
      <c r="F13" s="32" t="s">
        <v>6</v>
      </c>
      <c r="G13" s="8"/>
      <c r="H13" s="8"/>
      <c r="I13" s="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45">
      <c r="A14" s="21">
        <f>IF(ROW()-6&lt;=$C$4,ROW()-6,"")</f>
        <v>8</v>
      </c>
      <c r="B14" s="48">
        <v>15</v>
      </c>
      <c r="C14" s="26" t="s">
        <v>47</v>
      </c>
      <c r="D14" s="8"/>
      <c r="E14" s="8"/>
      <c r="F14" s="32" t="s">
        <v>7</v>
      </c>
      <c r="G14" s="8"/>
      <c r="H14" s="8"/>
      <c r="I14" s="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 x14ac:dyDescent="0.45">
      <c r="A15" s="21">
        <f>IF(ROW()-6&lt;=$C$4,ROW()-6,"")</f>
        <v>9</v>
      </c>
      <c r="B15" s="48">
        <v>10</v>
      </c>
      <c r="C15" s="26" t="str">
        <f>IF(A15="","","Round "&amp;A15)</f>
        <v>Round 9</v>
      </c>
      <c r="D15" s="8"/>
      <c r="E15" s="8"/>
      <c r="F15" s="32" t="s">
        <v>8</v>
      </c>
      <c r="G15" s="8"/>
      <c r="H15" s="8"/>
      <c r="I15" s="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 x14ac:dyDescent="0.45">
      <c r="A16" s="21">
        <f>IF(ROW()-6&lt;=$C$4,ROW()-6,"")</f>
        <v>10</v>
      </c>
      <c r="B16" s="48">
        <v>10</v>
      </c>
      <c r="C16" s="26" t="str">
        <f>IF(A16="","","Round "&amp;A16)</f>
        <v>Round 10</v>
      </c>
      <c r="D16" s="8"/>
      <c r="E16" s="8"/>
      <c r="F16" s="32" t="s">
        <v>9</v>
      </c>
      <c r="G16" s="8"/>
      <c r="H16" s="8"/>
      <c r="I16" s="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 x14ac:dyDescent="0.45">
      <c r="A17" s="21">
        <f>IF(ROW()-6&lt;=$C$4,ROW()-6,"")</f>
        <v>11</v>
      </c>
      <c r="B17" s="48">
        <v>5</v>
      </c>
      <c r="C17" s="26" t="s">
        <v>48</v>
      </c>
      <c r="D17" s="8"/>
      <c r="E17" s="8"/>
      <c r="F17" s="32" t="s">
        <v>20</v>
      </c>
      <c r="G17" s="8"/>
      <c r="H17" s="8"/>
      <c r="I17" s="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 x14ac:dyDescent="0.45">
      <c r="A18" s="21">
        <f>IF(ROW()-6&lt;=$C$4,ROW()-6,"")</f>
        <v>12</v>
      </c>
      <c r="B18" s="48">
        <v>10</v>
      </c>
      <c r="C18" s="26" t="str">
        <f>IF(A18="","","Round "&amp;A18)</f>
        <v>Round 12</v>
      </c>
      <c r="D18" s="8"/>
      <c r="E18" s="8"/>
      <c r="F18" s="32" t="s">
        <v>53</v>
      </c>
      <c r="G18" s="8"/>
      <c r="H18" s="8"/>
      <c r="I18" s="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0" customHeight="1" x14ac:dyDescent="0.45">
      <c r="A19" s="21">
        <f>IF(ROW()-6&lt;=$C$4,ROW()-6,"")</f>
        <v>13</v>
      </c>
      <c r="B19" s="48">
        <v>10</v>
      </c>
      <c r="C19" s="26" t="str">
        <f>IF(A19="","","Round "&amp;A19)</f>
        <v>Round 13</v>
      </c>
      <c r="D19" s="8"/>
      <c r="E19" s="8"/>
      <c r="F19" s="33" t="s">
        <v>66</v>
      </c>
      <c r="G19" s="8"/>
      <c r="H19" s="8"/>
      <c r="I19" s="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0" customHeight="1" x14ac:dyDescent="0.45">
      <c r="A20" s="21" t="str">
        <f>IF(ROW()-6&lt;=$C$4,ROW()-6,"")</f>
        <v/>
      </c>
      <c r="B20" s="48"/>
      <c r="C20" s="26" t="str">
        <f>IF(A20="","","Round "&amp;A20)</f>
        <v/>
      </c>
      <c r="D20" s="8"/>
      <c r="E20" s="8"/>
      <c r="F20" s="33" t="s">
        <v>67</v>
      </c>
      <c r="G20" s="8"/>
      <c r="H20" s="8"/>
      <c r="I20" s="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0" customHeight="1" x14ac:dyDescent="0.45">
      <c r="A21" s="21" t="str">
        <f>IF(ROW()-6&lt;=$C$4,ROW()-6,"")</f>
        <v/>
      </c>
      <c r="B21" s="48"/>
      <c r="C21" s="26" t="str">
        <f>IF(A21="","","Round "&amp;A21)</f>
        <v/>
      </c>
      <c r="D21" s="8"/>
      <c r="E21" s="8"/>
      <c r="F21" s="33" t="s">
        <v>68</v>
      </c>
      <c r="G21" s="8"/>
      <c r="H21" s="8"/>
      <c r="I21" s="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0" customHeight="1" x14ac:dyDescent="0.45">
      <c r="A22" s="21" t="str">
        <f>IF(ROW()-6&lt;=$C$4,ROW()-6,"")</f>
        <v/>
      </c>
      <c r="B22" s="48"/>
      <c r="C22" s="26" t="str">
        <f>IF(A22="","","Round "&amp;A22)</f>
        <v/>
      </c>
      <c r="D22" s="8"/>
      <c r="E22" s="8"/>
      <c r="F22" s="33" t="s">
        <v>69</v>
      </c>
      <c r="G22" s="8"/>
      <c r="H22" s="8"/>
      <c r="I22" s="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0" customHeight="1" x14ac:dyDescent="0.45">
      <c r="A23" s="21" t="str">
        <f>IF(ROW()-6&lt;=$C$4,ROW()-6,"")</f>
        <v/>
      </c>
      <c r="B23" s="48"/>
      <c r="C23" s="26" t="str">
        <f>IF(A23="","","Round "&amp;A23)</f>
        <v/>
      </c>
      <c r="D23" s="8"/>
      <c r="E23" s="8"/>
      <c r="F23" s="33" t="s">
        <v>70</v>
      </c>
      <c r="G23" s="8"/>
      <c r="H23" s="8"/>
      <c r="I23" s="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0" customHeight="1" x14ac:dyDescent="0.45">
      <c r="A24" s="21" t="str">
        <f>IF(ROW()-6&lt;=$C$4,ROW()-6,"")</f>
        <v/>
      </c>
      <c r="B24" s="48"/>
      <c r="C24" s="26" t="str">
        <f>IF(A24="","","Round "&amp;A24)</f>
        <v/>
      </c>
      <c r="D24" s="8"/>
      <c r="E24" s="8"/>
      <c r="F24" s="33" t="s">
        <v>71</v>
      </c>
      <c r="G24" s="8"/>
      <c r="H24" s="8"/>
      <c r="I24" s="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0" customHeight="1" x14ac:dyDescent="0.45">
      <c r="A25" s="21" t="str">
        <f>IF(ROW()-6&lt;=$C$4,ROW()-6,"")</f>
        <v/>
      </c>
      <c r="B25" s="48"/>
      <c r="C25" s="26" t="str">
        <f>IF(A25="","","Round "&amp;A25)</f>
        <v/>
      </c>
      <c r="D25" s="8"/>
      <c r="E25" s="8"/>
      <c r="F25" s="33" t="s">
        <v>72</v>
      </c>
      <c r="G25" s="8"/>
      <c r="H25" s="8"/>
      <c r="I25" s="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0" customHeight="1" x14ac:dyDescent="0.45">
      <c r="A26" s="21" t="str">
        <f>IF(ROW()-6&lt;=$C$4,ROW()-6,"")</f>
        <v/>
      </c>
      <c r="B26" s="48"/>
      <c r="C26" s="26" t="str">
        <f>IF(A26="","","Round "&amp;A26)</f>
        <v/>
      </c>
      <c r="D26" s="8"/>
      <c r="E26" s="8"/>
      <c r="F26" s="33" t="s">
        <v>73</v>
      </c>
      <c r="G26" s="8"/>
      <c r="H26" s="8"/>
      <c r="I26" s="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0" customHeight="1" x14ac:dyDescent="0.45">
      <c r="A27" s="21" t="str">
        <f>IF(ROW()-6&lt;=$C$4,ROW()-6,"")</f>
        <v/>
      </c>
      <c r="B27" s="48"/>
      <c r="C27" s="26" t="str">
        <f>IF(A27="","","Round "&amp;A27)</f>
        <v/>
      </c>
      <c r="D27" s="8"/>
      <c r="E27" s="8"/>
      <c r="F27" s="33" t="s">
        <v>74</v>
      </c>
      <c r="G27" s="8"/>
      <c r="H27" s="8"/>
      <c r="I27" s="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0" customHeight="1" x14ac:dyDescent="0.45">
      <c r="A28" s="21" t="str">
        <f>IF(ROW()-6&lt;=$C$4,ROW()-6,"")</f>
        <v/>
      </c>
      <c r="B28" s="48"/>
      <c r="C28" s="26" t="str">
        <f>IF(A28="","","Round "&amp;A28)</f>
        <v/>
      </c>
      <c r="D28" s="8"/>
      <c r="E28" s="8"/>
      <c r="F28" s="33" t="s">
        <v>75</v>
      </c>
      <c r="G28" s="8"/>
      <c r="H28" s="8"/>
      <c r="I28" s="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0" customHeight="1" x14ac:dyDescent="0.45">
      <c r="A29" s="21" t="str">
        <f>IF(ROW()-6&lt;=$C$4,ROW()-6,"")</f>
        <v/>
      </c>
      <c r="B29" s="48"/>
      <c r="C29" s="26" t="str">
        <f>IF(A29="","","Round "&amp;A29)</f>
        <v/>
      </c>
      <c r="D29" s="8"/>
      <c r="E29" s="8"/>
      <c r="F29" s="33" t="s">
        <v>76</v>
      </c>
      <c r="G29" s="8"/>
      <c r="H29" s="8"/>
      <c r="I29" s="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0" customHeight="1" x14ac:dyDescent="0.45">
      <c r="A30" s="21" t="str">
        <f>IF(ROW()-6&lt;=$C$4,ROW()-6,"")</f>
        <v/>
      </c>
      <c r="B30" s="48"/>
      <c r="C30" s="26" t="str">
        <f>IF(A30="","","Round "&amp;A30)</f>
        <v/>
      </c>
      <c r="D30" s="8"/>
      <c r="E30" s="8"/>
      <c r="F30" s="33" t="s">
        <v>77</v>
      </c>
      <c r="G30" s="8"/>
      <c r="H30" s="8"/>
      <c r="I30" s="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0" customHeight="1" x14ac:dyDescent="0.45">
      <c r="A31" s="21" t="str">
        <f>IF(ROW()-6&lt;=$C$4,ROW()-6,"")</f>
        <v/>
      </c>
      <c r="B31" s="48"/>
      <c r="C31" s="26" t="str">
        <f>IF(A31="","","Round "&amp;A31)</f>
        <v/>
      </c>
      <c r="D31" s="8"/>
      <c r="E31" s="8"/>
      <c r="F31" s="33" t="s">
        <v>78</v>
      </c>
      <c r="G31" s="8"/>
      <c r="H31" s="8"/>
      <c r="I31" s="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0" customHeight="1" x14ac:dyDescent="0.45">
      <c r="A32" s="21" t="str">
        <f>IF(ROW()-6&lt;=$C$4,ROW()-6,"")</f>
        <v/>
      </c>
      <c r="B32" s="48"/>
      <c r="C32" s="26" t="str">
        <f>IF(A32="","","Round "&amp;A32)</f>
        <v/>
      </c>
      <c r="D32" s="8"/>
      <c r="E32" s="8"/>
      <c r="F32" s="33" t="s">
        <v>79</v>
      </c>
      <c r="G32" s="8"/>
      <c r="H32" s="8"/>
      <c r="I32" s="8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0" customHeight="1" x14ac:dyDescent="0.45">
      <c r="A33" s="21" t="str">
        <f>IF(ROW()-6&lt;=$C$4,ROW()-6,"")</f>
        <v/>
      </c>
      <c r="B33" s="48"/>
      <c r="C33" s="26" t="str">
        <f>IF(A33="","","Round "&amp;A33)</f>
        <v/>
      </c>
      <c r="D33" s="8"/>
      <c r="E33" s="8"/>
      <c r="F33" s="33" t="s">
        <v>80</v>
      </c>
      <c r="G33" s="8"/>
      <c r="H33" s="8"/>
      <c r="I33" s="8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0" customHeight="1" x14ac:dyDescent="0.45">
      <c r="A34" s="21" t="str">
        <f>IF(ROW()-6&lt;=$C$4,ROW()-6,"")</f>
        <v/>
      </c>
      <c r="B34" s="48"/>
      <c r="C34" s="26" t="str">
        <f>IF(A34="","","Round "&amp;A34)</f>
        <v/>
      </c>
      <c r="D34" s="8"/>
      <c r="E34" s="8"/>
      <c r="F34" s="33" t="s">
        <v>81</v>
      </c>
      <c r="G34" s="8"/>
      <c r="H34" s="8"/>
      <c r="I34" s="8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0" customHeight="1" x14ac:dyDescent="0.45">
      <c r="A35" s="22" t="str">
        <f>IF(ROW()-6&lt;=$C$4,ROW()-6,"")</f>
        <v/>
      </c>
      <c r="B35" s="49"/>
      <c r="C35" s="27" t="str">
        <f>IF(A35="","","Round "&amp;A35)</f>
        <v/>
      </c>
      <c r="D35" s="8"/>
      <c r="E35" s="8"/>
      <c r="F35" s="34" t="s">
        <v>82</v>
      </c>
      <c r="G35" s="8"/>
      <c r="H35" s="8"/>
      <c r="I35" s="8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" customHeight="1" x14ac:dyDescent="0.45">
      <c r="A36" s="38" t="str">
        <f>IF(ROW()-6&lt;=$C$4,ROW()-6,"")</f>
        <v/>
      </c>
      <c r="B36" s="50"/>
      <c r="C36" s="39" t="str">
        <f>IF(A36="","","Round "&amp;A36)</f>
        <v/>
      </c>
      <c r="D36" s="8"/>
      <c r="E36" s="8"/>
      <c r="F36" s="35" t="s">
        <v>83</v>
      </c>
      <c r="G36" s="8"/>
      <c r="H36" s="8"/>
      <c r="I36" s="8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0" customHeight="1" x14ac:dyDescent="0.45">
      <c r="A37" s="8"/>
      <c r="B37" s="8"/>
      <c r="C37" s="8"/>
      <c r="D37" s="8"/>
      <c r="E37" s="8"/>
      <c r="F37" s="28" t="s">
        <v>84</v>
      </c>
      <c r="G37" s="8"/>
      <c r="H37" s="8"/>
      <c r="I37" s="8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0" customHeight="1" x14ac:dyDescent="0.45">
      <c r="A38" s="8"/>
      <c r="B38" s="8"/>
      <c r="C38" s="8"/>
      <c r="D38" s="8"/>
      <c r="E38" s="8"/>
      <c r="F38" s="13" t="s">
        <v>85</v>
      </c>
      <c r="G38" s="8"/>
      <c r="H38" s="8"/>
      <c r="I38" s="8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30" customHeight="1" x14ac:dyDescent="0.45">
      <c r="A39" s="8"/>
      <c r="B39" s="8"/>
      <c r="C39" s="8"/>
      <c r="D39" s="8"/>
      <c r="E39" s="8"/>
      <c r="F39" s="13" t="s">
        <v>86</v>
      </c>
      <c r="G39" s="8"/>
      <c r="H39" s="8"/>
      <c r="I39" s="8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30" customHeight="1" x14ac:dyDescent="0.45">
      <c r="A40" s="8"/>
      <c r="B40" s="8"/>
      <c r="C40" s="8"/>
      <c r="D40" s="8"/>
      <c r="E40" s="8"/>
      <c r="F40" s="13" t="s">
        <v>87</v>
      </c>
      <c r="G40" s="8"/>
      <c r="H40" s="8"/>
      <c r="I40" s="8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30" customHeight="1" x14ac:dyDescent="0.45">
      <c r="A41" s="8"/>
      <c r="B41" s="8"/>
      <c r="C41" s="8"/>
      <c r="D41" s="8"/>
      <c r="E41" s="8"/>
      <c r="F41" s="13" t="s">
        <v>88</v>
      </c>
      <c r="G41" s="8"/>
      <c r="H41" s="8"/>
      <c r="I41" s="8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30" customHeight="1" x14ac:dyDescent="0.45">
      <c r="A42" s="8"/>
      <c r="B42" s="8"/>
      <c r="C42" s="8"/>
      <c r="D42" s="8"/>
      <c r="E42" s="8"/>
      <c r="F42" s="13" t="s">
        <v>89</v>
      </c>
      <c r="G42" s="8"/>
      <c r="H42" s="8"/>
      <c r="I42" s="8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30" customHeight="1" x14ac:dyDescent="0.45">
      <c r="A43" s="8"/>
      <c r="B43" s="8"/>
      <c r="C43" s="8"/>
      <c r="D43" s="8"/>
      <c r="E43" s="8"/>
      <c r="F43" s="13" t="s">
        <v>90</v>
      </c>
      <c r="G43" s="8"/>
      <c r="H43" s="8"/>
      <c r="I43" s="8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30" customHeight="1" x14ac:dyDescent="0.45">
      <c r="A44" s="8"/>
      <c r="B44" s="8"/>
      <c r="C44" s="8"/>
      <c r="D44" s="8"/>
      <c r="E44" s="8"/>
      <c r="F44" s="13" t="s">
        <v>91</v>
      </c>
      <c r="G44" s="8"/>
      <c r="H44" s="8"/>
      <c r="I44" s="8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0" customHeight="1" x14ac:dyDescent="0.45">
      <c r="A45" s="8"/>
      <c r="B45" s="8"/>
      <c r="C45" s="8"/>
      <c r="D45" s="8"/>
      <c r="E45" s="8"/>
      <c r="F45" s="13" t="s">
        <v>92</v>
      </c>
      <c r="G45" s="8"/>
      <c r="H45" s="8"/>
      <c r="I45" s="8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0" customHeight="1" x14ac:dyDescent="0.45">
      <c r="A46" s="8"/>
      <c r="B46" s="8"/>
      <c r="C46" s="8"/>
      <c r="D46" s="8"/>
      <c r="E46" s="8"/>
      <c r="F46" s="13" t="s">
        <v>93</v>
      </c>
      <c r="G46" s="8"/>
      <c r="H46" s="8"/>
      <c r="I46" s="8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30" customHeight="1" x14ac:dyDescent="0.45">
      <c r="A47" s="8"/>
      <c r="B47" s="8"/>
      <c r="C47" s="8"/>
      <c r="D47" s="8"/>
      <c r="E47" s="8"/>
      <c r="F47" s="13" t="s">
        <v>94</v>
      </c>
      <c r="G47" s="8"/>
      <c r="H47" s="8"/>
      <c r="I47" s="8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0" customHeight="1" x14ac:dyDescent="0.45">
      <c r="A48" s="8"/>
      <c r="B48" s="8"/>
      <c r="C48" s="8"/>
      <c r="D48" s="8"/>
      <c r="E48" s="8"/>
      <c r="F48" s="13" t="s">
        <v>95</v>
      </c>
      <c r="G48" s="8"/>
      <c r="H48" s="8"/>
      <c r="I48" s="8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0" customHeight="1" x14ac:dyDescent="0.45">
      <c r="A49" s="8"/>
      <c r="B49" s="8"/>
      <c r="C49" s="8"/>
      <c r="D49" s="8"/>
      <c r="E49" s="8"/>
      <c r="F49" s="13" t="s">
        <v>96</v>
      </c>
      <c r="G49" s="8"/>
      <c r="H49" s="8"/>
      <c r="I49" s="8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0" customHeight="1" x14ac:dyDescent="0.45">
      <c r="A50" s="8"/>
      <c r="B50" s="8"/>
      <c r="C50" s="8"/>
      <c r="D50" s="8"/>
      <c r="E50" s="8"/>
      <c r="F50" s="13" t="s">
        <v>97</v>
      </c>
      <c r="G50" s="8"/>
      <c r="H50" s="8"/>
      <c r="I50" s="8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45">
      <c r="A51" s="3"/>
      <c r="B51" s="3"/>
      <c r="C51" s="3"/>
      <c r="D51" s="8"/>
      <c r="E51" s="8"/>
      <c r="F51" s="3"/>
      <c r="G51" s="8"/>
      <c r="H51" s="2"/>
      <c r="I51" s="8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45">
      <c r="A52" s="3"/>
      <c r="B52" s="3"/>
      <c r="C52" s="3"/>
      <c r="D52" s="8"/>
      <c r="E52" s="8"/>
      <c r="F52" s="3"/>
      <c r="G52" s="8"/>
      <c r="H52" s="2"/>
      <c r="I52" s="8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45">
      <c r="A53" s="3"/>
      <c r="B53" s="3"/>
      <c r="C53" s="3"/>
      <c r="D53" s="8"/>
      <c r="E53" s="8"/>
      <c r="F53" s="3"/>
      <c r="G53" s="8"/>
      <c r="H53" s="2"/>
      <c r="I53" s="8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45">
      <c r="A54" s="3"/>
      <c r="B54" s="3"/>
      <c r="C54" s="3"/>
      <c r="D54" s="8"/>
      <c r="E54" s="8"/>
      <c r="F54" s="3"/>
      <c r="G54" s="8"/>
      <c r="H54" s="2"/>
      <c r="I54" s="8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45">
      <c r="A55" s="3"/>
      <c r="B55" s="3"/>
      <c r="C55" s="3"/>
      <c r="D55" s="8"/>
      <c r="E55" s="8"/>
      <c r="F55" s="3"/>
      <c r="G55" s="8"/>
      <c r="H55" s="2"/>
      <c r="I55" s="8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45">
      <c r="A56" s="3"/>
      <c r="B56" s="3"/>
      <c r="C56" s="3"/>
      <c r="D56" s="8"/>
      <c r="E56" s="8"/>
      <c r="F56" s="3"/>
      <c r="G56" s="8"/>
      <c r="H56" s="2"/>
      <c r="I56" s="8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45">
      <c r="A57" s="3"/>
      <c r="B57" s="3"/>
      <c r="C57" s="3"/>
      <c r="D57" s="8"/>
      <c r="E57" s="8"/>
      <c r="F57" s="3"/>
      <c r="G57" s="8"/>
      <c r="H57" s="2"/>
      <c r="I57" s="8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45">
      <c r="A58" s="3"/>
      <c r="B58" s="3"/>
      <c r="C58" s="3"/>
      <c r="D58" s="8"/>
      <c r="E58" s="8"/>
      <c r="F58" s="3"/>
      <c r="G58" s="8"/>
      <c r="H58" s="2"/>
      <c r="I58" s="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45">
      <c r="A59" s="3"/>
      <c r="B59" s="3"/>
      <c r="C59" s="3"/>
      <c r="D59" s="8"/>
      <c r="E59" s="8"/>
      <c r="F59" s="3"/>
      <c r="G59" s="8"/>
      <c r="H59" s="2"/>
      <c r="I59" s="8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45">
      <c r="A60" s="3"/>
      <c r="B60" s="3"/>
      <c r="C60" s="3"/>
      <c r="D60" s="8"/>
      <c r="E60" s="8"/>
      <c r="F60" s="3"/>
      <c r="G60" s="8"/>
      <c r="H60" s="2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45">
      <c r="A61" s="2"/>
      <c r="B61" s="2"/>
      <c r="C61" s="2"/>
      <c r="D61" s="8"/>
      <c r="E61" s="8"/>
      <c r="F61" s="2"/>
      <c r="G61" s="8"/>
      <c r="H61" s="2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45">
      <c r="A62" s="2"/>
      <c r="B62" s="2"/>
      <c r="C62" s="2"/>
      <c r="D62" s="8"/>
      <c r="E62" s="8"/>
      <c r="F62" s="2"/>
      <c r="G62" s="8"/>
      <c r="H62" s="2"/>
      <c r="I62" s="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45">
      <c r="A63" s="2"/>
      <c r="B63" s="2"/>
      <c r="C63" s="2"/>
      <c r="D63" s="8"/>
      <c r="E63" s="8"/>
      <c r="F63" s="2"/>
      <c r="G63" s="8"/>
      <c r="H63" s="2"/>
      <c r="I63" s="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45">
      <c r="A64" s="2"/>
      <c r="B64" s="2"/>
      <c r="C64" s="2"/>
      <c r="D64" s="8"/>
      <c r="E64" s="8"/>
      <c r="F64" s="2"/>
      <c r="G64" s="8"/>
      <c r="H64" s="2"/>
      <c r="I64" s="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45">
      <c r="A65" s="2"/>
      <c r="B65" s="2"/>
      <c r="C65" s="2"/>
      <c r="D65" s="8"/>
      <c r="E65" s="8"/>
      <c r="F65" s="2"/>
      <c r="G65" s="8"/>
      <c r="H65" s="2"/>
      <c r="I65" s="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45">
      <c r="A66" s="2"/>
      <c r="B66" s="2"/>
      <c r="C66" s="2"/>
      <c r="D66" s="8"/>
      <c r="E66" s="8"/>
      <c r="F66" s="2"/>
      <c r="G66" s="8"/>
      <c r="H66" s="2"/>
      <c r="I66" s="8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45">
      <c r="A67" s="2"/>
      <c r="B67" s="2"/>
      <c r="C67" s="2"/>
      <c r="D67" s="8"/>
      <c r="E67" s="8"/>
      <c r="F67" s="2"/>
      <c r="G67" s="8"/>
      <c r="H67" s="2"/>
      <c r="I67" s="8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45">
      <c r="A68" s="2"/>
      <c r="B68" s="2"/>
      <c r="C68" s="2"/>
      <c r="D68" s="8"/>
      <c r="E68" s="8"/>
      <c r="F68" s="2"/>
      <c r="G68" s="8"/>
      <c r="H68" s="2"/>
      <c r="I68" s="8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45">
      <c r="A69" s="2"/>
      <c r="B69" s="2"/>
      <c r="C69" s="2"/>
      <c r="D69" s="8"/>
      <c r="E69" s="8"/>
      <c r="F69" s="2"/>
      <c r="G69" s="8"/>
      <c r="H69" s="2"/>
      <c r="I69" s="8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45">
      <c r="A70" s="2"/>
      <c r="B70" s="2"/>
      <c r="C70" s="2"/>
      <c r="D70" s="8"/>
      <c r="E70" s="8"/>
      <c r="F70" s="2"/>
      <c r="G70" s="8"/>
      <c r="H70" s="2"/>
      <c r="I70" s="8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45">
      <c r="A71" s="2"/>
      <c r="B71" s="2"/>
      <c r="C71" s="2"/>
      <c r="D71" s="8"/>
      <c r="E71" s="8"/>
      <c r="F71" s="2"/>
      <c r="G71" s="8"/>
      <c r="H71" s="2"/>
      <c r="I71" s="8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45">
      <c r="A72" s="2"/>
      <c r="B72" s="2"/>
      <c r="C72" s="2"/>
      <c r="D72" s="8"/>
      <c r="E72" s="8"/>
      <c r="F72" s="2"/>
      <c r="G72" s="8"/>
      <c r="H72" s="2"/>
      <c r="I72" s="8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45">
      <c r="A73" s="2"/>
      <c r="B73" s="2"/>
      <c r="C73" s="2"/>
      <c r="D73" s="8"/>
      <c r="E73" s="8"/>
      <c r="F73" s="2"/>
      <c r="G73" s="8"/>
      <c r="H73" s="2"/>
      <c r="I73" s="8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45">
      <c r="A74" s="2"/>
      <c r="B74" s="2"/>
      <c r="C74" s="2"/>
      <c r="D74" s="8"/>
      <c r="E74" s="8"/>
      <c r="F74" s="2"/>
      <c r="G74" s="8"/>
      <c r="H74" s="2"/>
      <c r="I74" s="8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45">
      <c r="A75" s="2"/>
      <c r="B75" s="2"/>
      <c r="C75" s="2"/>
      <c r="D75" s="8"/>
      <c r="E75" s="8"/>
      <c r="F75" s="2"/>
      <c r="G75" s="8"/>
      <c r="H75" s="2"/>
      <c r="I75" s="8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45">
      <c r="A76" s="2"/>
      <c r="B76" s="2"/>
      <c r="C76" s="2"/>
      <c r="D76" s="8"/>
      <c r="E76" s="8"/>
      <c r="F76" s="2"/>
      <c r="G76" s="8"/>
      <c r="H76" s="2"/>
      <c r="I76" s="8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45">
      <c r="A77" s="2"/>
      <c r="B77" s="2"/>
      <c r="C77" s="2"/>
      <c r="D77" s="8"/>
      <c r="E77" s="8"/>
      <c r="F77" s="2"/>
      <c r="G77" s="8"/>
      <c r="H77" s="2"/>
      <c r="I77" s="8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45">
      <c r="A78" s="2"/>
      <c r="B78" s="2"/>
      <c r="C78" s="2"/>
      <c r="D78" s="8"/>
      <c r="E78" s="8"/>
      <c r="F78" s="2"/>
      <c r="G78" s="8"/>
      <c r="H78" s="2"/>
      <c r="I78" s="8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45">
      <c r="A79" s="2"/>
      <c r="B79" s="2"/>
      <c r="C79" s="2"/>
      <c r="D79" s="8"/>
      <c r="E79" s="8"/>
      <c r="F79" s="2"/>
      <c r="G79" s="8"/>
      <c r="H79" s="2"/>
      <c r="I79" s="8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45">
      <c r="A80" s="2"/>
      <c r="B80" s="2"/>
      <c r="C80" s="2"/>
      <c r="D80" s="8"/>
      <c r="E80" s="8"/>
      <c r="F80" s="2"/>
      <c r="G80" s="8"/>
      <c r="H80" s="2"/>
      <c r="I80" s="8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45">
      <c r="A81" s="2"/>
      <c r="B81" s="2"/>
      <c r="C81" s="2"/>
      <c r="D81" s="8"/>
      <c r="E81" s="8"/>
      <c r="F81" s="2"/>
      <c r="G81" s="8"/>
      <c r="H81" s="2"/>
      <c r="I81" s="8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45">
      <c r="A82" s="2"/>
      <c r="B82" s="2"/>
      <c r="C82" s="2"/>
      <c r="D82" s="8"/>
      <c r="E82" s="8"/>
      <c r="F82" s="2"/>
      <c r="G82" s="8"/>
      <c r="H82" s="2"/>
      <c r="I82" s="8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45">
      <c r="A83" s="2"/>
      <c r="B83" s="2"/>
      <c r="C83" s="2"/>
      <c r="D83" s="8"/>
      <c r="E83" s="8"/>
      <c r="F83" s="2"/>
      <c r="G83" s="8"/>
      <c r="H83" s="2"/>
      <c r="I83" s="8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45">
      <c r="A84" s="2"/>
      <c r="B84" s="2"/>
      <c r="C84" s="2"/>
      <c r="D84" s="8"/>
      <c r="E84" s="8"/>
      <c r="F84" s="2"/>
      <c r="G84" s="8"/>
      <c r="H84" s="2"/>
      <c r="I84" s="8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45">
      <c r="A85" s="2"/>
      <c r="B85" s="2"/>
      <c r="C85" s="2"/>
      <c r="D85" s="8"/>
      <c r="E85" s="8"/>
      <c r="F85" s="2"/>
      <c r="G85" s="8"/>
      <c r="H85" s="2"/>
      <c r="I85" s="8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45">
      <c r="A86" s="2"/>
      <c r="B86" s="2"/>
      <c r="C86" s="2"/>
      <c r="D86" s="8"/>
      <c r="E86" s="8"/>
      <c r="F86" s="2"/>
      <c r="G86" s="8"/>
      <c r="H86" s="2"/>
      <c r="I86" s="8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45">
      <c r="A87" s="2"/>
      <c r="B87" s="2"/>
      <c r="C87" s="2"/>
      <c r="D87" s="8"/>
      <c r="E87" s="8"/>
      <c r="F87" s="2"/>
      <c r="G87" s="8"/>
      <c r="H87" s="2"/>
      <c r="I87" s="8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45">
      <c r="A88" s="2"/>
      <c r="B88" s="2"/>
      <c r="C88" s="2"/>
      <c r="D88" s="8"/>
      <c r="E88" s="8"/>
      <c r="F88" s="2"/>
      <c r="G88" s="8"/>
      <c r="H88" s="2"/>
      <c r="I88" s="8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45">
      <c r="A89" s="2"/>
      <c r="B89" s="2"/>
      <c r="C89" s="2"/>
      <c r="D89" s="8"/>
      <c r="E89" s="8"/>
      <c r="F89" s="2"/>
      <c r="G89" s="8"/>
      <c r="H89" s="2"/>
      <c r="I89" s="8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45">
      <c r="A90" s="2"/>
      <c r="B90" s="2"/>
      <c r="C90" s="2"/>
      <c r="D90" s="8"/>
      <c r="E90" s="8"/>
      <c r="F90" s="2"/>
      <c r="G90" s="8"/>
      <c r="H90" s="2"/>
      <c r="I90" s="8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45">
      <c r="A91" s="2"/>
      <c r="B91" s="2"/>
      <c r="C91" s="2"/>
      <c r="D91" s="8"/>
      <c r="E91" s="8"/>
      <c r="F91" s="2"/>
      <c r="G91" s="8"/>
      <c r="H91" s="2"/>
      <c r="I91" s="8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45">
      <c r="A92" s="2"/>
      <c r="B92" s="2"/>
      <c r="C92" s="2"/>
      <c r="D92" s="8"/>
      <c r="E92" s="8"/>
      <c r="F92" s="2"/>
      <c r="G92" s="8"/>
      <c r="H92" s="2"/>
      <c r="I92" s="8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45">
      <c r="A93" s="2"/>
      <c r="B93" s="2"/>
      <c r="C93" s="2"/>
      <c r="D93" s="8"/>
      <c r="E93" s="8"/>
      <c r="F93" s="2"/>
      <c r="G93" s="8"/>
      <c r="H93" s="2"/>
      <c r="I93" s="8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45">
      <c r="A94" s="2"/>
      <c r="B94" s="2"/>
      <c r="C94" s="2"/>
      <c r="D94" s="8"/>
      <c r="E94" s="8"/>
      <c r="F94" s="2"/>
      <c r="G94" s="8"/>
      <c r="H94" s="2"/>
      <c r="I94" s="8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45">
      <c r="A95" s="2"/>
      <c r="B95" s="2"/>
      <c r="C95" s="2"/>
      <c r="D95" s="8"/>
      <c r="E95" s="8"/>
      <c r="F95" s="2"/>
      <c r="G95" s="8"/>
      <c r="H95" s="2"/>
      <c r="I95" s="8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45">
      <c r="A96" s="2"/>
      <c r="B96" s="2"/>
      <c r="C96" s="2"/>
      <c r="D96" s="8"/>
      <c r="E96" s="8"/>
      <c r="F96" s="2"/>
      <c r="G96" s="8"/>
      <c r="H96" s="2"/>
      <c r="I96" s="8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45">
      <c r="A97" s="2"/>
      <c r="B97" s="2"/>
      <c r="C97" s="2"/>
      <c r="D97" s="8"/>
      <c r="E97" s="8"/>
      <c r="F97" s="2"/>
      <c r="G97" s="8"/>
      <c r="H97" s="2"/>
      <c r="I97" s="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45">
      <c r="A98" s="2"/>
      <c r="B98" s="2"/>
      <c r="C98" s="2"/>
      <c r="D98" s="8"/>
      <c r="E98" s="8"/>
      <c r="F98" s="2"/>
      <c r="G98" s="8"/>
      <c r="H98" s="2"/>
      <c r="I98" s="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45">
      <c r="A99" s="2"/>
      <c r="B99" s="2"/>
      <c r="C99" s="2"/>
      <c r="D99" s="8"/>
      <c r="E99" s="8"/>
      <c r="F99" s="2"/>
      <c r="G99" s="8"/>
      <c r="H99" s="2"/>
      <c r="I99" s="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45">
      <c r="A100" s="2"/>
      <c r="B100" s="2"/>
      <c r="C100" s="2"/>
      <c r="D100" s="8"/>
      <c r="E100" s="8"/>
      <c r="F100" s="2"/>
      <c r="G100" s="8"/>
      <c r="H100" s="2"/>
      <c r="I100" s="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F9DA4-B714-4225-9222-ADBC653E208E}">
  <dimension ref="A1:AI40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14" sqref="O14"/>
    </sheetView>
  </sheetViews>
  <sheetFormatPr defaultRowHeight="14.25" x14ac:dyDescent="0.45"/>
  <cols>
    <col min="1" max="1" width="32" customWidth="1"/>
    <col min="2" max="2" width="12.46484375" style="1" customWidth="1"/>
    <col min="3" max="35" width="13.33203125" customWidth="1"/>
  </cols>
  <sheetData>
    <row r="1" spans="1:35" ht="32" customHeight="1" x14ac:dyDescent="0.45">
      <c r="A1" s="53" t="s">
        <v>10</v>
      </c>
      <c r="B1" s="53" t="s">
        <v>16</v>
      </c>
      <c r="C1" s="53" t="str" cm="1">
        <f t="array" ref="C1">IFERROR(IF(COLUMNS($C1:C1)&lt;=Management!$C$4,IF(LEFT(INDEX(Management!$C$7:$C$36,COLUMNS($C1:C1)),6)="Round ","R"&amp;MID(INDEX(Management!$C$7:$C$36,COLUMNS($C1:C1)),7,10),LEFT(INDEX(Management!$C$7:$C$36,COLUMNS($C1:C1)),7))&amp;" (/"&amp;INDEX(Management!$B$7:$B$36,COLUMNS($C1:C1))&amp;")",""),"")</f>
        <v>Rond de (/10)</v>
      </c>
      <c r="D1" s="53" t="str" cm="1">
        <f t="array" ref="D1">IFERROR(IF(COLUMNS($C1:D1)&lt;=Management!$C$4,IF(LEFT(INDEX(Management!$C$7:$C$36,COLUMNS($C1:D1)),6)="Round ","R"&amp;MID(INDEX(Management!$C$7:$C$36,COLUMNS($C1:D1)),7,10),LEFT(INDEX(Management!$C$7:$C$36,COLUMNS($C1:D1)),7))&amp;" (/"&amp;INDEX(Management!$B$7:$B$36,COLUMNS($C1:D1))&amp;")",""),"")</f>
        <v>Woordsl (/10)</v>
      </c>
      <c r="E1" s="53" t="str" cm="1">
        <f t="array" ref="E1">IFERROR(IF(COLUMNS($C1:E1)&lt;=Management!$C$4,IF(LEFT(INDEX(Management!$C$7:$C$36,COLUMNS($C1:E1)),6)="Round ","R"&amp;MID(INDEX(Management!$C$7:$C$36,COLUMNS($C1:E1)),7,10),LEFT(INDEX(Management!$C$7:$C$36,COLUMNS($C1:E1)),7))&amp;" (/"&amp;INDEX(Management!$B$7:$B$36,COLUMNS($C1:E1))&amp;")",""),"")</f>
        <v>Lokaal (/10)</v>
      </c>
      <c r="F1" s="53" t="str" cm="1">
        <f t="array" ref="F1">IFERROR(IF(COLUMNS($C1:F1)&lt;=Management!$C$4,IF(LEFT(INDEX(Management!$C$7:$C$36,COLUMNS($C1:F1)),6)="Round ","R"&amp;MID(INDEX(Management!$C$7:$C$36,COLUMNS($C1:F1)),7,10),LEFT(INDEX(Management!$C$7:$C$36,COLUMNS($C1:F1)),7))&amp;" (/"&amp;INDEX(Management!$B$7:$B$36,COLUMNS($C1:F1))&amp;")",""),"")</f>
        <v>Tussenr (/20)</v>
      </c>
      <c r="G1" s="53" t="str" cm="1">
        <f t="array" ref="G1">IFERROR(IF(COLUMNS($C1:G1)&lt;=Management!$C$4,IF(LEFT(INDEX(Management!$C$7:$C$36,COLUMNS($C1:G1)),6)="Round ","R"&amp;MID(INDEX(Management!$C$7:$C$36,COLUMNS($C1:G1)),7,10),LEFT(INDEX(Management!$C$7:$C$36,COLUMNS($C1:G1)),7))&amp;" (/"&amp;INDEX(Management!$B$7:$B$36,COLUMNS($C1:G1))&amp;")",""),"")</f>
        <v>Actua (/10)</v>
      </c>
      <c r="H1" s="53" t="str" cm="1">
        <f t="array" ref="H1">IFERROR(IF(COLUMNS($C1:H1)&lt;=Management!$C$4,IF(LEFT(INDEX(Management!$C$7:$C$36,COLUMNS($C1:H1)),6)="Round ","R"&amp;MID(INDEX(Management!$C$7:$C$36,COLUMNS($C1:H1)),7,10),LEFT(INDEX(Management!$C$7:$C$36,COLUMNS($C1:H1)),7))&amp;" (/"&amp;INDEX(Management!$B$7:$B$36,COLUMNS($C1:H1))&amp;")",""),"")</f>
        <v>R6 (/10)</v>
      </c>
      <c r="I1" s="53" t="str" cm="1">
        <f t="array" ref="I1">IFERROR(IF(COLUMNS($C1:I1)&lt;=Management!$C$4,IF(LEFT(INDEX(Management!$C$7:$C$36,COLUMNS($C1:I1)),6)="Round ","R"&amp;MID(INDEX(Management!$C$7:$C$36,COLUMNS($C1:I1)),7,10),LEFT(INDEX(Management!$C$7:$C$36,COLUMNS($C1:I1)),7))&amp;" (/"&amp;INDEX(Management!$B$7:$B$36,COLUMNS($C1:I1))&amp;")",""),"")</f>
        <v>R7 (/10)</v>
      </c>
      <c r="J1" s="53" t="str" cm="1">
        <f t="array" ref="J1">IFERROR(IF(COLUMNS($C1:J1)&lt;=Management!$C$4,IF(LEFT(INDEX(Management!$C$7:$C$36,COLUMNS($C1:J1)),6)="Round ","R"&amp;MID(INDEX(Management!$C$7:$C$36,COLUMNS($C1:J1)),7,10),LEFT(INDEX(Management!$C$7:$C$36,COLUMNS($C1:J1)),7))&amp;" (/"&amp;INDEX(Management!$B$7:$B$36,COLUMNS($C1:J1))&amp;")",""),"")</f>
        <v>Tussenr (/15)</v>
      </c>
      <c r="K1" s="53" t="str" cm="1">
        <f t="array" ref="K1">IFERROR(IF(COLUMNS($C1:K1)&lt;=Management!$C$4,IF(LEFT(INDEX(Management!$C$7:$C$36,COLUMNS($C1:K1)),6)="Round ","R"&amp;MID(INDEX(Management!$C$7:$C$36,COLUMNS($C1:K1)),7,10),LEFT(INDEX(Management!$C$7:$C$36,COLUMNS($C1:K1)),7))&amp;" (/"&amp;INDEX(Management!$B$7:$B$36,COLUMNS($C1:K1))&amp;")",""),"")</f>
        <v>R9 (/10)</v>
      </c>
      <c r="L1" s="53" t="str" cm="1">
        <f t="array" ref="L1">IFERROR(IF(COLUMNS($C1:L1)&lt;=Management!$C$4,IF(LEFT(INDEX(Management!$C$7:$C$36,COLUMNS($C1:L1)),6)="Round ","R"&amp;MID(INDEX(Management!$C$7:$C$36,COLUMNS($C1:L1)),7,10),LEFT(INDEX(Management!$C$7:$C$36,COLUMNS($C1:L1)),7))&amp;" (/"&amp;INDEX(Management!$B$7:$B$36,COLUMNS($C1:L1))&amp;")",""),"")</f>
        <v>R10 (/10)</v>
      </c>
      <c r="M1" s="53" t="str" cm="1">
        <f t="array" ref="M1">IFERROR(IF(COLUMNS($C1:M1)&lt;=Management!$C$4,IF(LEFT(INDEX(Management!$C$7:$C$36,COLUMNS($C1:M1)),6)="Round ","R"&amp;MID(INDEX(Management!$C$7:$C$36,COLUMNS($C1:M1)),7,10),LEFT(INDEX(Management!$C$7:$C$36,COLUMNS($C1:M1)),7))&amp;" (/"&amp;INDEX(Management!$B$7:$B$36,COLUMNS($C1:M1))&amp;")",""),"")</f>
        <v>Doe-ron (/5)</v>
      </c>
      <c r="N1" s="53" t="str" cm="1">
        <f t="array" ref="N1">IFERROR(IF(COLUMNS($C1:N1)&lt;=Management!$C$4,IF(LEFT(INDEX(Management!$C$7:$C$36,COLUMNS($C1:N1)),6)="Round ","R"&amp;MID(INDEX(Management!$C$7:$C$36,COLUMNS($C1:N1)),7,10),LEFT(INDEX(Management!$C$7:$C$36,COLUMNS($C1:N1)),7))&amp;" (/"&amp;INDEX(Management!$B$7:$B$36,COLUMNS($C1:N1))&amp;")",""),"")</f>
        <v>R12 (/10)</v>
      </c>
      <c r="O1" s="53" t="str" cm="1">
        <f t="array" ref="O1">IFERROR(IF(COLUMNS($C1:O1)&lt;=Management!$C$4,IF(LEFT(INDEX(Management!$C$7:$C$36,COLUMNS($C1:O1)),6)="Round ","R"&amp;MID(INDEX(Management!$C$7:$C$36,COLUMNS($C1:O1)),7,10),LEFT(INDEX(Management!$C$7:$C$36,COLUMNS($C1:O1)),7))&amp;" (/"&amp;INDEX(Management!$B$7:$B$36,COLUMNS($C1:O1))&amp;")",""),"")</f>
        <v>R13 (/10)</v>
      </c>
      <c r="P1" s="53" t="str" cm="1">
        <f t="array" ref="P1">IFERROR(IF(COLUMNS($C1:P1)&lt;=Management!$C$4,IF(LEFT(INDEX(Management!$C$7:$C$36,COLUMNS($C1:P1)),6)="Round ","R"&amp;MID(INDEX(Management!$C$7:$C$36,COLUMNS($C1:P1)),7,10),LEFT(INDEX(Management!$C$7:$C$36,COLUMNS($C1:P1)),7))&amp;" (/"&amp;INDEX(Management!$B$7:$B$36,COLUMNS($C1:P1))&amp;")",""),"")</f>
        <v/>
      </c>
      <c r="Q1" s="53" t="str" cm="1">
        <f t="array" ref="Q1">IFERROR(IF(COLUMNS($C1:Q1)&lt;=Management!$C$4,IF(LEFT(INDEX(Management!$C$7:$C$36,COLUMNS($C1:Q1)),6)="Round ","R"&amp;MID(INDEX(Management!$C$7:$C$36,COLUMNS($C1:Q1)),7,10),LEFT(INDEX(Management!$C$7:$C$36,COLUMNS($C1:Q1)),7))&amp;" (/"&amp;INDEX(Management!$B$7:$B$36,COLUMNS($C1:Q1))&amp;")",""),"")</f>
        <v/>
      </c>
      <c r="R1" s="53" t="str" cm="1">
        <f t="array" ref="R1">IFERROR(IF(COLUMNS($C1:R1)&lt;=Management!$C$4,IF(LEFT(INDEX(Management!$C$7:$C$36,COLUMNS($C1:R1)),6)="Round ","R"&amp;MID(INDEX(Management!$C$7:$C$36,COLUMNS($C1:R1)),7,10),LEFT(INDEX(Management!$C$7:$C$36,COLUMNS($C1:R1)),7))&amp;" (/"&amp;INDEX(Management!$B$7:$B$36,COLUMNS($C1:R1))&amp;")",""),"")</f>
        <v/>
      </c>
      <c r="S1" s="53" t="str" cm="1">
        <f t="array" ref="S1">IFERROR(IF(COLUMNS($C1:S1)&lt;=Management!$C$4,IF(LEFT(INDEX(Management!$C$7:$C$36,COLUMNS($C1:S1)),6)="Round ","R"&amp;MID(INDEX(Management!$C$7:$C$36,COLUMNS($C1:S1)),7,10),LEFT(INDEX(Management!$C$7:$C$36,COLUMNS($C1:S1)),7))&amp;" (/"&amp;INDEX(Management!$B$7:$B$36,COLUMNS($C1:S1))&amp;")",""),"")</f>
        <v/>
      </c>
      <c r="T1" s="53" t="str" cm="1">
        <f t="array" ref="T1">IFERROR(IF(COLUMNS($C1:T1)&lt;=Management!$C$4,IF(LEFT(INDEX(Management!$C$7:$C$36,COLUMNS($C1:T1)),6)="Round ","R"&amp;MID(INDEX(Management!$C$7:$C$36,COLUMNS($C1:T1)),7,10),LEFT(INDEX(Management!$C$7:$C$36,COLUMNS($C1:T1)),7))&amp;" (/"&amp;INDEX(Management!$B$7:$B$36,COLUMNS($C1:T1))&amp;")",""),"")</f>
        <v/>
      </c>
      <c r="U1" s="53" t="str" cm="1">
        <f t="array" ref="U1">IFERROR(IF(COLUMNS($C1:U1)&lt;=Management!$C$4,IF(LEFT(INDEX(Management!$C$7:$C$36,COLUMNS($C1:U1)),6)="Round ","R"&amp;MID(INDEX(Management!$C$7:$C$36,COLUMNS($C1:U1)),7,10),LEFT(INDEX(Management!$C$7:$C$36,COLUMNS($C1:U1)),7))&amp;" (/"&amp;INDEX(Management!$B$7:$B$36,COLUMNS($C1:U1))&amp;")",""),"")</f>
        <v/>
      </c>
      <c r="V1" s="53" t="str" cm="1">
        <f t="array" ref="V1">IFERROR(IF(COLUMNS($C1:V1)&lt;=Management!$C$4,IF(LEFT(INDEX(Management!$C$7:$C$36,COLUMNS($C1:V1)),6)="Round ","R"&amp;MID(INDEX(Management!$C$7:$C$36,COLUMNS($C1:V1)),7,10),LEFT(INDEX(Management!$C$7:$C$36,COLUMNS($C1:V1)),7))&amp;" (/"&amp;INDEX(Management!$B$7:$B$36,COLUMNS($C1:V1))&amp;")",""),"")</f>
        <v/>
      </c>
      <c r="W1" s="53" t="str" cm="1">
        <f t="array" ref="W1">IFERROR(IF(COLUMNS($C1:W1)&lt;=Management!$C$4,IF(LEFT(INDEX(Management!$C$7:$C$36,COLUMNS($C1:W1)),6)="Round ","R"&amp;MID(INDEX(Management!$C$7:$C$36,COLUMNS($C1:W1)),7,10),LEFT(INDEX(Management!$C$7:$C$36,COLUMNS($C1:W1)),7))&amp;" (/"&amp;INDEX(Management!$B$7:$B$36,COLUMNS($C1:W1))&amp;")",""),"")</f>
        <v/>
      </c>
      <c r="X1" s="53" t="str" cm="1">
        <f t="array" ref="X1">IFERROR(IF(COLUMNS($C1:X1)&lt;=Management!$C$4,IF(LEFT(INDEX(Management!$C$7:$C$36,COLUMNS($C1:X1)),6)="Round ","R"&amp;MID(INDEX(Management!$C$7:$C$36,COLUMNS($C1:X1)),7,10),LEFT(INDEX(Management!$C$7:$C$36,COLUMNS($C1:X1)),7))&amp;" (/"&amp;INDEX(Management!$B$7:$B$36,COLUMNS($C1:X1))&amp;")",""),"")</f>
        <v/>
      </c>
      <c r="Y1" s="53" t="str" cm="1">
        <f t="array" ref="Y1">IFERROR(IF(COLUMNS($C1:Y1)&lt;=Management!$C$4,IF(LEFT(INDEX(Management!$C$7:$C$36,COLUMNS($C1:Y1)),6)="Round ","R"&amp;MID(INDEX(Management!$C$7:$C$36,COLUMNS($C1:Y1)),7,10),LEFT(INDEX(Management!$C$7:$C$36,COLUMNS($C1:Y1)),7))&amp;" (/"&amp;INDEX(Management!$B$7:$B$36,COLUMNS($C1:Y1))&amp;")",""),"")</f>
        <v/>
      </c>
      <c r="Z1" s="53" t="str" cm="1">
        <f t="array" ref="Z1">IFERROR(IF(COLUMNS($C1:Z1)&lt;=Management!$C$4,IF(LEFT(INDEX(Management!$C$7:$C$36,COLUMNS($C1:Z1)),6)="Round ","R"&amp;MID(INDEX(Management!$C$7:$C$36,COLUMNS($C1:Z1)),7,10),LEFT(INDEX(Management!$C$7:$C$36,COLUMNS($C1:Z1)),7))&amp;" (/"&amp;INDEX(Management!$B$7:$B$36,COLUMNS($C1:Z1))&amp;")",""),"")</f>
        <v/>
      </c>
      <c r="AA1" s="53" t="str" cm="1">
        <f t="array" ref="AA1">IFERROR(IF(COLUMNS($C1:AA1)&lt;=Management!$C$4,IF(LEFT(INDEX(Management!$C$7:$C$36,COLUMNS($C1:AA1)),6)="Round ","R"&amp;MID(INDEX(Management!$C$7:$C$36,COLUMNS($C1:AA1)),7,10),LEFT(INDEX(Management!$C$7:$C$36,COLUMNS($C1:AA1)),7))&amp;" (/"&amp;INDEX(Management!$B$7:$B$36,COLUMNS($C1:AA1))&amp;")",""),"")</f>
        <v/>
      </c>
      <c r="AB1" s="53" t="str" cm="1">
        <f t="array" ref="AB1">IFERROR(IF(COLUMNS($C1:AB1)&lt;=Management!$C$4,IF(LEFT(INDEX(Management!$C$7:$C$36,COLUMNS($C1:AB1)),6)="Round ","R"&amp;MID(INDEX(Management!$C$7:$C$36,COLUMNS($C1:AB1)),7,10),LEFT(INDEX(Management!$C$7:$C$36,COLUMNS($C1:AB1)),7))&amp;" (/"&amp;INDEX(Management!$B$7:$B$36,COLUMNS($C1:AB1))&amp;")",""),"")</f>
        <v/>
      </c>
      <c r="AC1" s="53" t="str" cm="1">
        <f t="array" ref="AC1">IFERROR(IF(COLUMNS($C1:AC1)&lt;=Management!$C$4,IF(LEFT(INDEX(Management!$C$7:$C$36,COLUMNS($C1:AC1)),6)="Round ","R"&amp;MID(INDEX(Management!$C$7:$C$36,COLUMNS($C1:AC1)),7,10),LEFT(INDEX(Management!$C$7:$C$36,COLUMNS($C1:AC1)),7))&amp;" (/"&amp;INDEX(Management!$B$7:$B$36,COLUMNS($C1:AC1))&amp;")",""),"")</f>
        <v/>
      </c>
      <c r="AD1" s="53" t="str" cm="1">
        <f t="array" ref="AD1">IFERROR(IF(COLUMNS($C1:AD1)&lt;=Management!$C$4,IF(LEFT(INDEX(Management!$C$7:$C$36,COLUMNS($C1:AD1)),6)="Round ","R"&amp;MID(INDEX(Management!$C$7:$C$36,COLUMNS($C1:AD1)),7,10),LEFT(INDEX(Management!$C$7:$C$36,COLUMNS($C1:AD1)),7))&amp;" (/"&amp;INDEX(Management!$B$7:$B$36,COLUMNS($C1:AD1))&amp;")",""),"")</f>
        <v/>
      </c>
      <c r="AE1" s="53" t="str" cm="1">
        <f t="array" ref="AE1">IFERROR(IF(COLUMNS($C1:AE1)&lt;=Management!$C$4,IF(LEFT(INDEX(Management!$C$7:$C$36,COLUMNS($C1:AE1)),6)="Round ","R"&amp;MID(INDEX(Management!$C$7:$C$36,COLUMNS($C1:AE1)),7,10),LEFT(INDEX(Management!$C$7:$C$36,COLUMNS($C1:AE1)),7))&amp;" (/"&amp;INDEX(Management!$B$7:$B$36,COLUMNS($C1:AE1))&amp;")",""),"")</f>
        <v/>
      </c>
      <c r="AF1" s="53" t="str" cm="1">
        <f t="array" ref="AF1">IFERROR(IF(COLUMNS($C1:AF1)&lt;=Management!$C$4,IF(LEFT(INDEX(Management!$C$7:$C$36,COLUMNS($C1:AF1)),6)="Round ","R"&amp;MID(INDEX(Management!$C$7:$C$36,COLUMNS($C1:AF1)),7,10),LEFT(INDEX(Management!$C$7:$C$36,COLUMNS($C1:AF1)),7))&amp;" (/"&amp;INDEX(Management!$B$7:$B$36,COLUMNS($C1:AF1))&amp;")",""),"")</f>
        <v/>
      </c>
      <c r="AG1" s="53" t="s">
        <v>11</v>
      </c>
      <c r="AH1" s="53" t="s">
        <v>12</v>
      </c>
      <c r="AI1" s="53" t="s">
        <v>15</v>
      </c>
    </row>
    <row r="2" spans="1:35" ht="24" customHeight="1" x14ac:dyDescent="0.45">
      <c r="A2" s="54" t="str" cm="1">
        <f t="array" ref="A2">IFERROR(IF(INDEX(Management!$F$7:$F$36,ROWS($A$2:A2))="","",INDEX(Management!$F$7:$F$36,ROWS($A$2:A2))),"")</f>
        <v>De Vliegende Stroopwafels</v>
      </c>
      <c r="B2" s="55">
        <v>2</v>
      </c>
      <c r="C2" s="56">
        <v>3</v>
      </c>
      <c r="D2" s="56">
        <v>4</v>
      </c>
      <c r="E2" s="56">
        <v>1</v>
      </c>
      <c r="F2" s="56">
        <v>5</v>
      </c>
      <c r="G2" s="56">
        <v>6</v>
      </c>
      <c r="H2" s="56">
        <v>10</v>
      </c>
      <c r="I2" s="56">
        <v>6</v>
      </c>
      <c r="J2" s="56">
        <v>15</v>
      </c>
      <c r="K2" s="56">
        <v>6</v>
      </c>
      <c r="L2" s="56">
        <v>6</v>
      </c>
      <c r="M2" s="56">
        <v>5</v>
      </c>
      <c r="N2" s="56">
        <v>6</v>
      </c>
      <c r="O2" s="56">
        <v>6</v>
      </c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7">
        <f>IF($A2="","",SUM(C2:AF2))</f>
        <v>79</v>
      </c>
      <c r="AH2" s="57" cm="1">
        <f t="array" ref="AH2">IF($A2="","",SUMPRODUCT((ROW(Management!$B$7:$B$36)-ROW(Management!$B$9)+1&lt;=Management!$C$4)*IFERROR(Management!$B$7:$B$36*1,0)))</f>
        <v>140</v>
      </c>
      <c r="AI2" s="56">
        <f>IF($A2="",-1,SUM(C2:AF2)-IFERROR(B2,999)/100000)</f>
        <v>78.999979999999994</v>
      </c>
    </row>
    <row r="3" spans="1:35" ht="24" customHeight="1" x14ac:dyDescent="0.45">
      <c r="A3" s="54" t="str" cm="1">
        <f t="array" ref="A3">IFERROR(IF(INDEX(Management!$F$7:$F$36,ROWS($A$2:A3))="","",INDEX(Management!$F$7:$F$36,ROWS($A$2:A3))),"")</f>
        <v>Bietsende Bitterballen</v>
      </c>
      <c r="B3" s="55">
        <v>10</v>
      </c>
      <c r="C3" s="58">
        <v>3</v>
      </c>
      <c r="D3" s="58">
        <v>4</v>
      </c>
      <c r="E3" s="58">
        <v>6</v>
      </c>
      <c r="F3" s="58">
        <v>1</v>
      </c>
      <c r="G3" s="58">
        <v>6</v>
      </c>
      <c r="H3" s="58">
        <v>8</v>
      </c>
      <c r="I3" s="58">
        <v>9</v>
      </c>
      <c r="J3" s="58">
        <v>5</v>
      </c>
      <c r="K3" s="58">
        <v>9</v>
      </c>
      <c r="L3" s="58">
        <v>9</v>
      </c>
      <c r="M3" s="58">
        <v>4</v>
      </c>
      <c r="N3" s="58">
        <v>9</v>
      </c>
      <c r="O3" s="58">
        <v>9</v>
      </c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9">
        <f>IF($A3="","",SUM(C3:AF3))</f>
        <v>82</v>
      </c>
      <c r="AH3" s="59" cm="1">
        <f t="array" ref="AH3">IF($A3="","",SUMPRODUCT((ROW(Management!$B$7:$B$36)-ROW(Management!$B$9)+1&lt;=Management!$C$4)*IFERROR(Management!$B$7:$B$36*1,0)))</f>
        <v>140</v>
      </c>
      <c r="AI3" s="58">
        <f>IF($A3="",-1,SUM(C3:AF3)-IFERROR(B3,999)/100000)</f>
        <v>81.999899999999997</v>
      </c>
    </row>
    <row r="4" spans="1:35" ht="24" customHeight="1" x14ac:dyDescent="0.45">
      <c r="A4" s="54" t="str" cm="1">
        <f t="array" ref="A4">IFERROR(IF(INDEX(Management!$F$7:$F$36,ROWS($A$2:A4))="","",INDEX(Management!$F$7:$F$36,ROWS($A$2:A4))),"")</f>
        <v>De Dolle Klompendansers</v>
      </c>
      <c r="B4" s="55">
        <v>6</v>
      </c>
      <c r="C4" s="56">
        <v>3</v>
      </c>
      <c r="D4" s="56">
        <v>6</v>
      </c>
      <c r="E4" s="56">
        <v>6</v>
      </c>
      <c r="F4" s="56">
        <v>5</v>
      </c>
      <c r="G4" s="56">
        <v>3</v>
      </c>
      <c r="H4" s="56">
        <v>4</v>
      </c>
      <c r="I4" s="56">
        <v>0</v>
      </c>
      <c r="J4" s="56">
        <v>11</v>
      </c>
      <c r="K4" s="56">
        <v>0</v>
      </c>
      <c r="L4" s="56">
        <v>0</v>
      </c>
      <c r="M4" s="56">
        <v>3</v>
      </c>
      <c r="N4" s="56">
        <v>0</v>
      </c>
      <c r="O4" s="56">
        <v>5</v>
      </c>
      <c r="P4" s="56"/>
      <c r="Q4" s="56"/>
      <c r="R4" s="60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7">
        <f>IF($A4="","",SUM(C4:AF4))</f>
        <v>46</v>
      </c>
      <c r="AH4" s="57" cm="1">
        <f t="array" ref="AH4">IF($A4="","",SUMPRODUCT((ROW(Management!$B$7:$B$36)-ROW(Management!$B$9)+1&lt;=Management!$C$4)*IFERROR(Management!$B$7:$B$36*1,0)))</f>
        <v>140</v>
      </c>
      <c r="AI4" s="56">
        <f>IF($A4="",-1,SUM(C4:AF4)-IFERROR(B4,999)/100000)</f>
        <v>45.999940000000002</v>
      </c>
    </row>
    <row r="5" spans="1:35" ht="24" customHeight="1" x14ac:dyDescent="0.45">
      <c r="A5" s="54" t="str" cm="1">
        <f t="array" ref="A5">IFERROR(IF(INDEX(Management!$F$7:$F$36,ROWS($A$2:A5))="","",INDEX(Management!$F$7:$F$36,ROWS($A$2:A5))),"")</f>
        <v>Kaaskoppen United</v>
      </c>
      <c r="B5" s="55">
        <v>3</v>
      </c>
      <c r="C5" s="58">
        <v>2</v>
      </c>
      <c r="D5" s="58">
        <v>10</v>
      </c>
      <c r="E5" s="58">
        <v>4</v>
      </c>
      <c r="F5" s="58">
        <v>17</v>
      </c>
      <c r="G5" s="58">
        <v>0</v>
      </c>
      <c r="H5" s="58">
        <v>10</v>
      </c>
      <c r="I5" s="58">
        <v>4</v>
      </c>
      <c r="J5" s="58">
        <v>12</v>
      </c>
      <c r="K5" s="58">
        <v>4</v>
      </c>
      <c r="L5" s="58">
        <v>4</v>
      </c>
      <c r="M5" s="58">
        <v>2</v>
      </c>
      <c r="N5" s="58">
        <v>4</v>
      </c>
      <c r="O5" s="58">
        <v>4</v>
      </c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9">
        <f>IF($A5="","",SUM(C5:AF5))</f>
        <v>77</v>
      </c>
      <c r="AH5" s="59" cm="1">
        <f t="array" ref="AH5">IF($A5="","",SUMPRODUCT((ROW(Management!$B$7:$B$36)-ROW(Management!$B$9)+1&lt;=Management!$C$4)*IFERROR(Management!$B$7:$B$36*1,0)))</f>
        <v>140</v>
      </c>
      <c r="AI5" s="58">
        <f>IF($A5="",-1,SUM(C5:AF5)-IFERROR(B5,999)/100000)</f>
        <v>76.999970000000005</v>
      </c>
    </row>
    <row r="6" spans="1:35" ht="24" customHeight="1" x14ac:dyDescent="0.45">
      <c r="A6" s="54" t="str" cm="1">
        <f t="array" ref="A6">IFERROR(IF(INDEX(Management!$F$7:$F$36,ROWS($A$2:A6))="","",INDEX(Management!$F$7:$F$36,ROWS($A$2:A6))),"")</f>
        <v>De Hossende Haringen</v>
      </c>
      <c r="B6" s="55">
        <v>9</v>
      </c>
      <c r="C6" s="56">
        <v>2</v>
      </c>
      <c r="D6" s="56">
        <v>9</v>
      </c>
      <c r="E6" s="56">
        <v>8</v>
      </c>
      <c r="F6" s="56">
        <v>3</v>
      </c>
      <c r="G6" s="56">
        <v>10</v>
      </c>
      <c r="H6" s="56">
        <v>0</v>
      </c>
      <c r="I6" s="56">
        <v>5</v>
      </c>
      <c r="J6" s="56">
        <v>9</v>
      </c>
      <c r="K6" s="56">
        <v>5</v>
      </c>
      <c r="L6" s="56">
        <v>5</v>
      </c>
      <c r="M6" s="56">
        <v>1</v>
      </c>
      <c r="N6" s="56">
        <v>5</v>
      </c>
      <c r="O6" s="56">
        <v>5</v>
      </c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7">
        <f>IF($A6="","",SUM(C6:AF6))</f>
        <v>67</v>
      </c>
      <c r="AH6" s="57" cm="1">
        <f t="array" ref="AH6">IF($A6="","",SUMPRODUCT((ROW(Management!$B$7:$B$36)-ROW(Management!$B$9)+1&lt;=Management!$C$4)*IFERROR(Management!$B$7:$B$36*1,0)))</f>
        <v>140</v>
      </c>
      <c r="AI6" s="56">
        <f>IF($A6="",-1,SUM(C6:AF6)-IFERROR(B6,999)/100000)</f>
        <v>66.99991</v>
      </c>
    </row>
    <row r="7" spans="1:35" ht="24" customHeight="1" x14ac:dyDescent="0.45">
      <c r="A7" s="54" t="str" cm="1">
        <f t="array" ref="A7">IFERROR(IF(INDEX(Management!$F$7:$F$36,ROWS($A$2:A7))="","",INDEX(Management!$F$7:$F$36,ROWS($A$2:A7))),"")</f>
        <v>Tulpen uit Toeterdam</v>
      </c>
      <c r="B7" s="55">
        <v>1</v>
      </c>
      <c r="C7" s="58">
        <v>6</v>
      </c>
      <c r="D7" s="58">
        <v>10</v>
      </c>
      <c r="E7" s="58">
        <v>9</v>
      </c>
      <c r="F7" s="58">
        <v>10</v>
      </c>
      <c r="G7" s="58">
        <v>9</v>
      </c>
      <c r="H7" s="58">
        <v>4</v>
      </c>
      <c r="I7" s="58">
        <v>10</v>
      </c>
      <c r="J7" s="58">
        <v>9</v>
      </c>
      <c r="K7" s="58">
        <v>4</v>
      </c>
      <c r="L7" s="58">
        <v>3</v>
      </c>
      <c r="M7" s="58">
        <v>0</v>
      </c>
      <c r="N7" s="58">
        <v>4</v>
      </c>
      <c r="O7" s="58">
        <v>4</v>
      </c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9">
        <f>IF($A7="","",SUM(C7:AF7))</f>
        <v>82</v>
      </c>
      <c r="AH7" s="59" cm="1">
        <f t="array" ref="AH7">IF($A7="","",SUMPRODUCT((ROW(Management!$B$7:$B$36)-ROW(Management!$B$9)+1&lt;=Management!$C$4)*IFERROR(Management!$B$7:$B$36*1,0)))</f>
        <v>140</v>
      </c>
      <c r="AI7" s="58">
        <f>IF($A7="",-1,SUM(C7:AF7)-IFERROR(B7,999)/100000)</f>
        <v>81.999989999999997</v>
      </c>
    </row>
    <row r="8" spans="1:35" ht="24" customHeight="1" x14ac:dyDescent="0.45">
      <c r="A8" s="54" t="str" cm="1">
        <f t="array" ref="A8">IFERROR(IF(INDEX(Management!$F$7:$F$36,ROWS($A$2:A8))="","",INDEX(Management!$F$7:$F$36,ROWS($A$2:A8))),"")</f>
        <v>De Pittige Pepernoten</v>
      </c>
      <c r="B8" s="55">
        <v>1</v>
      </c>
      <c r="C8" s="56">
        <v>4</v>
      </c>
      <c r="D8" s="56">
        <v>6</v>
      </c>
      <c r="E8" s="56">
        <v>4</v>
      </c>
      <c r="F8" s="56">
        <v>15</v>
      </c>
      <c r="G8" s="56">
        <v>2</v>
      </c>
      <c r="H8" s="56">
        <v>4</v>
      </c>
      <c r="I8" s="56">
        <v>6</v>
      </c>
      <c r="J8" s="56">
        <v>9</v>
      </c>
      <c r="K8" s="56">
        <v>6</v>
      </c>
      <c r="L8" s="56">
        <v>6</v>
      </c>
      <c r="M8" s="56">
        <v>0</v>
      </c>
      <c r="N8" s="56">
        <v>6</v>
      </c>
      <c r="O8" s="56">
        <v>6</v>
      </c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7">
        <f>IF($A8="","",SUM(C8:AF8))</f>
        <v>74</v>
      </c>
      <c r="AH8" s="57" cm="1">
        <f t="array" ref="AH8">IF($A8="","",SUMPRODUCT((ROW(Management!$B$7:$B$36)-ROW(Management!$B$9)+1&lt;=Management!$C$4)*IFERROR(Management!$B$7:$B$36*1,0)))</f>
        <v>140</v>
      </c>
      <c r="AI8" s="56">
        <f>IF($A8="",-1,SUM(C8:AF8)-IFERROR(B8,999)/100000)</f>
        <v>73.999989999999997</v>
      </c>
    </row>
    <row r="9" spans="1:35" ht="24" customHeight="1" x14ac:dyDescent="0.45">
      <c r="A9" s="54" t="str" cm="1">
        <f t="array" ref="A9">IFERROR(IF(INDEX(Management!$F$7:$F$36,ROWS($A$2:A9))="","",INDEX(Management!$F$7:$F$36,ROWS($A$2:A9))),"")</f>
        <v>Fietsende Frikandellen</v>
      </c>
      <c r="B9" s="55">
        <v>5</v>
      </c>
      <c r="C9" s="58">
        <v>8</v>
      </c>
      <c r="D9" s="58">
        <v>8</v>
      </c>
      <c r="E9" s="58">
        <v>9</v>
      </c>
      <c r="F9" s="58">
        <v>18</v>
      </c>
      <c r="G9" s="58">
        <v>3</v>
      </c>
      <c r="H9" s="58">
        <v>4</v>
      </c>
      <c r="I9" s="58">
        <v>4</v>
      </c>
      <c r="J9" s="58">
        <v>4</v>
      </c>
      <c r="K9" s="58">
        <v>4</v>
      </c>
      <c r="L9" s="58">
        <v>4</v>
      </c>
      <c r="M9" s="58">
        <v>0</v>
      </c>
      <c r="N9" s="58">
        <v>4</v>
      </c>
      <c r="O9" s="58">
        <v>4</v>
      </c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9">
        <f>IF($A9="","",SUM(C9:AF9))</f>
        <v>74</v>
      </c>
      <c r="AH9" s="59" cm="1">
        <f t="array" ref="AH9">IF($A9="","",SUMPRODUCT((ROW(Management!$B$7:$B$36)-ROW(Management!$B$9)+1&lt;=Management!$C$4)*IFERROR(Management!$B$7:$B$36*1,0)))</f>
        <v>140</v>
      </c>
      <c r="AI9" s="58">
        <f>IF($A9="",-1,SUM(C9:AF9)-IFERROR(B9,999)/100000)</f>
        <v>73.999949999999998</v>
      </c>
    </row>
    <row r="10" spans="1:35" ht="24" customHeight="1" x14ac:dyDescent="0.45">
      <c r="A10" s="54" t="str" cm="1">
        <f t="array" ref="A10">IFERROR(IF(INDEX(Management!$F$7:$F$36,ROWS($A$2:A10))="","",INDEX(Management!$F$7:$F$36,ROWS($A$2:A10))),"")</f>
        <v>De Gekke Gouwenaars</v>
      </c>
      <c r="B10" s="55">
        <v>4</v>
      </c>
      <c r="C10" s="56">
        <v>8</v>
      </c>
      <c r="D10" s="56">
        <v>8</v>
      </c>
      <c r="E10" s="56">
        <v>6</v>
      </c>
      <c r="F10" s="56">
        <v>3</v>
      </c>
      <c r="G10" s="56">
        <v>3</v>
      </c>
      <c r="H10" s="56">
        <v>1</v>
      </c>
      <c r="I10" s="56">
        <v>6</v>
      </c>
      <c r="J10" s="56">
        <v>4</v>
      </c>
      <c r="K10" s="56">
        <v>6</v>
      </c>
      <c r="L10" s="56">
        <v>6</v>
      </c>
      <c r="M10" s="56">
        <v>0</v>
      </c>
      <c r="N10" s="56">
        <v>6</v>
      </c>
      <c r="O10" s="56">
        <v>6</v>
      </c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7">
        <f>IF($A10="","",SUM(C10:AF10))</f>
        <v>63</v>
      </c>
      <c r="AH10" s="57" cm="1">
        <f t="array" ref="AH10">IF($A10="","",SUMPRODUCT((ROW(Management!$B$7:$B$36)-ROW(Management!$B$9)+1&lt;=Management!$C$4)*IFERROR(Management!$B$7:$B$36*1,0)))</f>
        <v>140</v>
      </c>
      <c r="AI10" s="56">
        <f>IF($A10="",-1,SUM(C10:AF10)-IFERROR(B10,999)/100000)</f>
        <v>62.999960000000002</v>
      </c>
    </row>
    <row r="11" spans="1:35" ht="24" customHeight="1" x14ac:dyDescent="0.45">
      <c r="A11" s="54" t="str" cm="1">
        <f t="array" ref="A11">IFERROR(IF(INDEX(Management!$F$7:$F$36,ROWS($A$2:A11))="","",INDEX(Management!$F$7:$F$36,ROWS($A$2:A11))),"")</f>
        <v>Stampende Stamppotters</v>
      </c>
      <c r="B11" s="55">
        <v>9</v>
      </c>
      <c r="C11" s="58">
        <v>7</v>
      </c>
      <c r="D11" s="58">
        <v>3</v>
      </c>
      <c r="E11" s="58">
        <v>7</v>
      </c>
      <c r="F11" s="58">
        <v>12</v>
      </c>
      <c r="G11" s="58">
        <v>9</v>
      </c>
      <c r="H11" s="58">
        <v>3</v>
      </c>
      <c r="I11" s="58">
        <v>1</v>
      </c>
      <c r="J11" s="58">
        <v>3</v>
      </c>
      <c r="K11" s="58">
        <v>1</v>
      </c>
      <c r="L11" s="58">
        <v>1</v>
      </c>
      <c r="M11" s="58">
        <v>0</v>
      </c>
      <c r="N11" s="58">
        <v>1</v>
      </c>
      <c r="O11" s="58">
        <v>1</v>
      </c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9">
        <f>IF($A11="","",SUM(C11:AF11))</f>
        <v>49</v>
      </c>
      <c r="AH11" s="59" cm="1">
        <f t="array" ref="AH11">IF($A11="","",SUMPRODUCT((ROW(Management!$B$7:$B$36)-ROW(Management!$B$9)+1&lt;=Management!$C$4)*IFERROR(Management!$B$7:$B$36*1,0)))</f>
        <v>140</v>
      </c>
      <c r="AI11" s="58">
        <f>IF($A11="",-1,SUM(C11:AF11)-IFERROR(B11,999)/100000)</f>
        <v>48.99991</v>
      </c>
    </row>
    <row r="12" spans="1:35" ht="24" customHeight="1" x14ac:dyDescent="0.45">
      <c r="A12" s="54" t="str" cm="1">
        <f t="array" ref="A12">IFERROR(IF(INDEX(Management!$F$7:$F$36,ROWS($A$2:A12))="","",INDEX(Management!$F$7:$F$36,ROWS($A$2:A12))),"")</f>
        <v>Kwistet</v>
      </c>
      <c r="B12" s="55">
        <v>11</v>
      </c>
      <c r="C12" s="56">
        <v>8</v>
      </c>
      <c r="D12" s="56">
        <v>5</v>
      </c>
      <c r="E12" s="56">
        <v>5</v>
      </c>
      <c r="F12" s="56">
        <v>5</v>
      </c>
      <c r="G12" s="56">
        <v>5</v>
      </c>
      <c r="H12" s="56">
        <v>5</v>
      </c>
      <c r="I12" s="56">
        <v>5</v>
      </c>
      <c r="J12" s="56">
        <v>5</v>
      </c>
      <c r="K12" s="56">
        <v>5</v>
      </c>
      <c r="L12" s="56">
        <v>5</v>
      </c>
      <c r="M12" s="56">
        <v>0</v>
      </c>
      <c r="N12" s="56">
        <v>5</v>
      </c>
      <c r="O12" s="56">
        <v>5</v>
      </c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7">
        <f>IF($A12="","",SUM(C12:AF12))</f>
        <v>63</v>
      </c>
      <c r="AH12" s="57" cm="1">
        <f t="array" ref="AH12">IF($A12="","",SUMPRODUCT((ROW(Management!$B$7:$B$36)-ROW(Management!$B$9)+1&lt;=Management!$C$4)*IFERROR(Management!$B$7:$B$36*1,0)))</f>
        <v>140</v>
      </c>
      <c r="AI12" s="56">
        <f>IF($A12="",-1,SUM(C12:AF12)-IFERROR(B12,999)/100000)</f>
        <v>62.999890000000001</v>
      </c>
    </row>
    <row r="13" spans="1:35" ht="24" customHeight="1" x14ac:dyDescent="0.45">
      <c r="A13" s="54" t="str" cm="1">
        <f t="array" ref="A13">IFERROR(IF(INDEX(Management!$F$7:$F$36,ROWS($A$2:A13))="","",INDEX(Management!$F$7:$F$36,ROWS($A$2:A13))),"")</f>
        <v>Nogeenploeg</v>
      </c>
      <c r="B13" s="55">
        <v>12</v>
      </c>
      <c r="C13" s="58">
        <v>7</v>
      </c>
      <c r="D13" s="58">
        <v>3</v>
      </c>
      <c r="E13" s="58">
        <v>7</v>
      </c>
      <c r="F13" s="58">
        <v>12</v>
      </c>
      <c r="G13" s="58">
        <v>9</v>
      </c>
      <c r="H13" s="58">
        <v>3</v>
      </c>
      <c r="I13" s="58">
        <v>1</v>
      </c>
      <c r="J13" s="58">
        <v>14</v>
      </c>
      <c r="K13" s="58">
        <v>8</v>
      </c>
      <c r="L13" s="58">
        <v>4</v>
      </c>
      <c r="M13" s="58">
        <v>2</v>
      </c>
      <c r="N13" s="58">
        <v>4</v>
      </c>
      <c r="O13" s="58">
        <v>4</v>
      </c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9">
        <f>IF($A13="","",SUM(C13:AF13))</f>
        <v>78</v>
      </c>
      <c r="AH13" s="59" cm="1">
        <f t="array" ref="AH13">IF($A13="","",SUMPRODUCT((ROW(Management!$B$7:$B$36)-ROW(Management!$B$9)+1&lt;=Management!$C$4)*IFERROR(Management!$B$7:$B$36*1,0)))</f>
        <v>140</v>
      </c>
      <c r="AI13" s="58">
        <f>IF($A13="",-1,SUM(C13:AF13)-IFERROR(B13,999)/100000)</f>
        <v>77.999880000000005</v>
      </c>
    </row>
    <row r="14" spans="1:35" ht="24" customHeight="1" x14ac:dyDescent="0.45">
      <c r="A14" s="54" t="str" cm="1">
        <f t="array" ref="A14">IFERROR(IF(INDEX(Management!$F$7:$F$36,ROWS($A$2:A14))="","",INDEX(Management!$F$7:$F$36,ROWS($A$2:A14))),"")</f>
        <v>Team19</v>
      </c>
      <c r="B14" s="55">
        <v>13</v>
      </c>
      <c r="C14" s="56">
        <v>3</v>
      </c>
      <c r="D14" s="56">
        <v>6</v>
      </c>
      <c r="E14" s="56">
        <v>6</v>
      </c>
      <c r="F14" s="56">
        <v>5</v>
      </c>
      <c r="G14" s="56">
        <v>3</v>
      </c>
      <c r="H14" s="56">
        <v>4</v>
      </c>
      <c r="I14" s="56">
        <v>0</v>
      </c>
      <c r="J14" s="56">
        <v>11</v>
      </c>
      <c r="K14" s="56">
        <v>0</v>
      </c>
      <c r="L14" s="56">
        <v>0</v>
      </c>
      <c r="M14" s="56">
        <v>3</v>
      </c>
      <c r="N14" s="56">
        <v>0</v>
      </c>
      <c r="O14" s="56">
        <v>1</v>
      </c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7">
        <f>IF($A14="","",SUM(C14:AF14))</f>
        <v>42</v>
      </c>
      <c r="AH14" s="57" cm="1">
        <f t="array" ref="AH14">IF($A14="","",SUMPRODUCT((ROW(Management!$B$7:$B$36)-ROW(Management!$B$9)+1&lt;=Management!$C$4)*IFERROR(Management!$B$7:$B$36*1,0)))</f>
        <v>140</v>
      </c>
      <c r="AI14" s="56">
        <f>IF($A14="",-1,SUM(C14:AF14)-IFERROR(B14,999)/100000)</f>
        <v>41.999870000000001</v>
      </c>
    </row>
    <row r="15" spans="1:35" ht="24" customHeight="1" x14ac:dyDescent="0.45">
      <c r="A15" s="54" t="str" cm="1">
        <f t="array" ref="A15">IFERROR(IF(INDEX(Management!$F$7:$F$36,ROWS($A$2:A15))="","",INDEX(Management!$F$7:$F$36,ROWS($A$2:A15))),"")</f>
        <v>Team20</v>
      </c>
      <c r="B15" s="55">
        <v>14</v>
      </c>
      <c r="C15" s="58">
        <v>2</v>
      </c>
      <c r="D15" s="58">
        <v>10</v>
      </c>
      <c r="E15" s="58">
        <v>4</v>
      </c>
      <c r="F15" s="58">
        <v>17</v>
      </c>
      <c r="G15" s="58">
        <v>0</v>
      </c>
      <c r="H15" s="58">
        <v>10</v>
      </c>
      <c r="I15" s="58">
        <v>4</v>
      </c>
      <c r="J15" s="58">
        <v>12</v>
      </c>
      <c r="K15" s="58">
        <v>4</v>
      </c>
      <c r="L15" s="58">
        <v>4</v>
      </c>
      <c r="M15" s="58">
        <v>2</v>
      </c>
      <c r="N15" s="58">
        <v>4</v>
      </c>
      <c r="O15" s="58">
        <v>4</v>
      </c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9">
        <f>IF($A15="","",SUM(C15:AF15))</f>
        <v>77</v>
      </c>
      <c r="AH15" s="59" cm="1">
        <f t="array" ref="AH15">IF($A15="","",SUMPRODUCT((ROW(Management!$B$7:$B$36)-ROW(Management!$B$9)+1&lt;=Management!$C$4)*IFERROR(Management!$B$7:$B$36*1,0)))</f>
        <v>140</v>
      </c>
      <c r="AI15" s="58">
        <f>IF($A15="",-1,SUM(C15:AF15)-IFERROR(B15,999)/100000)</f>
        <v>76.999859999999998</v>
      </c>
    </row>
    <row r="16" spans="1:35" ht="24" customHeight="1" x14ac:dyDescent="0.45">
      <c r="A16" s="54" t="str" cm="1">
        <f t="array" ref="A16">IFERROR(IF(INDEX(Management!$F$7:$F$36,ROWS($A$2:A16))="","",INDEX(Management!$F$7:$F$36,ROWS($A$2:A16))),"")</f>
        <v>Team21</v>
      </c>
      <c r="B16" s="55">
        <v>15</v>
      </c>
      <c r="C16" s="56">
        <v>2</v>
      </c>
      <c r="D16" s="56">
        <v>9</v>
      </c>
      <c r="E16" s="56">
        <v>8</v>
      </c>
      <c r="F16" s="56">
        <v>3</v>
      </c>
      <c r="G16" s="56">
        <v>10</v>
      </c>
      <c r="H16" s="56">
        <v>0</v>
      </c>
      <c r="I16" s="56">
        <v>5</v>
      </c>
      <c r="J16" s="56">
        <v>9</v>
      </c>
      <c r="K16" s="56">
        <v>5</v>
      </c>
      <c r="L16" s="56">
        <v>5</v>
      </c>
      <c r="M16" s="56">
        <v>1</v>
      </c>
      <c r="N16" s="56">
        <v>5</v>
      </c>
      <c r="O16" s="56">
        <v>5</v>
      </c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7">
        <f>IF($A16="","",SUM(C16:AF16))</f>
        <v>67</v>
      </c>
      <c r="AH16" s="57" cm="1">
        <f t="array" ref="AH16">IF($A16="","",SUMPRODUCT((ROW(Management!$B$7:$B$36)-ROW(Management!$B$9)+1&lt;=Management!$C$4)*IFERROR(Management!$B$7:$B$36*1,0)))</f>
        <v>140</v>
      </c>
      <c r="AI16" s="56">
        <f>IF($A16="",-1,SUM(C16:AF16)-IFERROR(B16,999)/100000)</f>
        <v>66.999849999999995</v>
      </c>
    </row>
    <row r="17" spans="1:35" ht="24" customHeight="1" x14ac:dyDescent="0.45">
      <c r="A17" s="54" t="str" cm="1">
        <f t="array" ref="A17">IFERROR(IF(INDEX(Management!$F$7:$F$36,ROWS($A$2:A17))="","",INDEX(Management!$F$7:$F$36,ROWS($A$2:A17))),"")</f>
        <v>Team22</v>
      </c>
      <c r="B17" s="55">
        <v>16</v>
      </c>
      <c r="C17" s="58">
        <v>6</v>
      </c>
      <c r="D17" s="58">
        <v>10</v>
      </c>
      <c r="E17" s="58">
        <v>9</v>
      </c>
      <c r="F17" s="58">
        <v>10</v>
      </c>
      <c r="G17" s="58">
        <v>9</v>
      </c>
      <c r="H17" s="58">
        <v>4</v>
      </c>
      <c r="I17" s="58">
        <v>10</v>
      </c>
      <c r="J17" s="58">
        <v>9</v>
      </c>
      <c r="K17" s="58">
        <v>4</v>
      </c>
      <c r="L17" s="58">
        <v>3</v>
      </c>
      <c r="M17" s="58">
        <v>0</v>
      </c>
      <c r="N17" s="58">
        <v>4</v>
      </c>
      <c r="O17" s="58">
        <v>4</v>
      </c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9">
        <f>IF($A17="","",SUM(C17:AF17))</f>
        <v>82</v>
      </c>
      <c r="AH17" s="59" cm="1">
        <f t="array" ref="AH17">IF($A17="","",SUMPRODUCT((ROW(Management!$B$7:$B$36)-ROW(Management!$B$9)+1&lt;=Management!$C$4)*IFERROR(Management!$B$7:$B$36*1,0)))</f>
        <v>140</v>
      </c>
      <c r="AI17" s="58">
        <f>IF($A17="",-1,SUM(C17:AF17)-IFERROR(B17,999)/100000)</f>
        <v>81.999840000000006</v>
      </c>
    </row>
    <row r="18" spans="1:35" ht="24" customHeight="1" x14ac:dyDescent="0.45">
      <c r="A18" s="54" t="str" cm="1">
        <f t="array" ref="A18">IFERROR(IF(INDEX(Management!$F$7:$F$36,ROWS($A$2:A18))="","",INDEX(Management!$F$7:$F$36,ROWS($A$2:A18))),"")</f>
        <v>Team23</v>
      </c>
      <c r="B18" s="55">
        <v>17</v>
      </c>
      <c r="C18" s="56">
        <v>4</v>
      </c>
      <c r="D18" s="56">
        <v>6</v>
      </c>
      <c r="E18" s="56">
        <v>4</v>
      </c>
      <c r="F18" s="56">
        <v>15</v>
      </c>
      <c r="G18" s="56">
        <v>2</v>
      </c>
      <c r="H18" s="56">
        <v>4</v>
      </c>
      <c r="I18" s="56">
        <v>6</v>
      </c>
      <c r="J18" s="56">
        <v>9</v>
      </c>
      <c r="K18" s="56">
        <v>6</v>
      </c>
      <c r="L18" s="56">
        <v>6</v>
      </c>
      <c r="M18" s="56">
        <v>0</v>
      </c>
      <c r="N18" s="56">
        <v>6</v>
      </c>
      <c r="O18" s="56">
        <v>6</v>
      </c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7">
        <f>IF($A18="","",SUM(C18:AF18))</f>
        <v>74</v>
      </c>
      <c r="AH18" s="57" cm="1">
        <f t="array" ref="AH18">IF($A18="","",SUMPRODUCT((ROW(Management!$B$7:$B$36)-ROW(Management!$B$9)+1&lt;=Management!$C$4)*IFERROR(Management!$B$7:$B$36*1,0)))</f>
        <v>140</v>
      </c>
      <c r="AI18" s="56">
        <f>IF($A18="",-1,SUM(C18:AF18)-IFERROR(B18,999)/100000)</f>
        <v>73.999830000000003</v>
      </c>
    </row>
    <row r="19" spans="1:35" ht="24" customHeight="1" x14ac:dyDescent="0.45">
      <c r="A19" s="54" t="str" cm="1">
        <f t="array" ref="A19">IFERROR(IF(INDEX(Management!$F$7:$F$36,ROWS($A$2:A19))="","",INDEX(Management!$F$7:$F$36,ROWS($A$2:A19))),"")</f>
        <v>Team24</v>
      </c>
      <c r="B19" s="55">
        <v>18</v>
      </c>
      <c r="C19" s="58">
        <v>8</v>
      </c>
      <c r="D19" s="58">
        <v>8</v>
      </c>
      <c r="E19" s="58">
        <v>9</v>
      </c>
      <c r="F19" s="58">
        <v>20</v>
      </c>
      <c r="G19" s="58">
        <v>3</v>
      </c>
      <c r="H19" s="58">
        <v>4</v>
      </c>
      <c r="I19" s="58">
        <v>4</v>
      </c>
      <c r="J19" s="58">
        <v>4</v>
      </c>
      <c r="K19" s="58">
        <v>4</v>
      </c>
      <c r="L19" s="58">
        <v>4</v>
      </c>
      <c r="M19" s="58">
        <v>0</v>
      </c>
      <c r="N19" s="58">
        <v>4</v>
      </c>
      <c r="O19" s="58">
        <v>4</v>
      </c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9">
        <f>IF($A19="","",SUM(C19:AF19))</f>
        <v>76</v>
      </c>
      <c r="AH19" s="59" cm="1">
        <f t="array" ref="AH19">IF($A19="","",SUMPRODUCT((ROW(Management!$B$7:$B$36)-ROW(Management!$B$9)+1&lt;=Management!$C$4)*IFERROR(Management!$B$7:$B$36*1,0)))</f>
        <v>140</v>
      </c>
      <c r="AI19" s="58">
        <f>IF($A19="",-1,SUM(C19:AF19)-IFERROR(B19,999)/100000)</f>
        <v>75.99982</v>
      </c>
    </row>
    <row r="20" spans="1:35" ht="24" customHeight="1" x14ac:dyDescent="0.45">
      <c r="A20" s="54" t="str" cm="1">
        <f t="array" ref="A20">IFERROR(IF(INDEX(Management!$F$7:$F$36,ROWS($A$2:A20))="","",INDEX(Management!$F$7:$F$36,ROWS($A$2:A20))),"")</f>
        <v>Team25</v>
      </c>
      <c r="B20" s="55">
        <v>19</v>
      </c>
      <c r="C20" s="56">
        <v>8</v>
      </c>
      <c r="D20" s="56">
        <v>8</v>
      </c>
      <c r="E20" s="56">
        <v>6</v>
      </c>
      <c r="F20" s="56">
        <v>3</v>
      </c>
      <c r="G20" s="56">
        <v>3</v>
      </c>
      <c r="H20" s="56">
        <v>1</v>
      </c>
      <c r="I20" s="56">
        <v>6</v>
      </c>
      <c r="J20" s="56">
        <v>4</v>
      </c>
      <c r="K20" s="56">
        <v>6</v>
      </c>
      <c r="L20" s="56">
        <v>6</v>
      </c>
      <c r="M20" s="56">
        <v>0</v>
      </c>
      <c r="N20" s="56">
        <v>6</v>
      </c>
      <c r="O20" s="56">
        <v>6</v>
      </c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7">
        <f>IF($A20="","",SUM(C20:AF20))</f>
        <v>63</v>
      </c>
      <c r="AH20" s="57" cm="1">
        <f t="array" ref="AH20">IF($A20="","",SUMPRODUCT((ROW(Management!$B$7:$B$36)-ROW(Management!$B$9)+1&lt;=Management!$C$4)*IFERROR(Management!$B$7:$B$36*1,0)))</f>
        <v>140</v>
      </c>
      <c r="AI20" s="56">
        <f>IF($A20="",-1,SUM(C20:AF20)-IFERROR(B20,999)/100000)</f>
        <v>62.999809999999997</v>
      </c>
    </row>
    <row r="21" spans="1:35" ht="24" customHeight="1" x14ac:dyDescent="0.45">
      <c r="A21" s="54" t="str" cm="1">
        <f t="array" ref="A21">IFERROR(IF(INDEX(Management!$F$7:$F$36,ROWS($A$2:A21))="","",INDEX(Management!$F$7:$F$36,ROWS($A$2:A21))),"")</f>
        <v>Team26</v>
      </c>
      <c r="B21" s="55">
        <v>20</v>
      </c>
      <c r="C21" s="58">
        <v>7</v>
      </c>
      <c r="D21" s="58">
        <v>3</v>
      </c>
      <c r="E21" s="58">
        <v>7</v>
      </c>
      <c r="F21" s="58">
        <v>12</v>
      </c>
      <c r="G21" s="58">
        <v>9</v>
      </c>
      <c r="H21" s="58">
        <v>3</v>
      </c>
      <c r="I21" s="58">
        <v>1</v>
      </c>
      <c r="J21" s="58">
        <v>3</v>
      </c>
      <c r="K21" s="58">
        <v>1</v>
      </c>
      <c r="L21" s="58">
        <v>1</v>
      </c>
      <c r="M21" s="58">
        <v>0</v>
      </c>
      <c r="N21" s="58">
        <v>1</v>
      </c>
      <c r="O21" s="58">
        <v>1</v>
      </c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9">
        <f>IF($A21="","",SUM(C21:AF21))</f>
        <v>49</v>
      </c>
      <c r="AH21" s="59" cm="1">
        <f t="array" ref="AH21">IF($A21="","",SUMPRODUCT((ROW(Management!$B$7:$B$36)-ROW(Management!$B$9)+1&lt;=Management!$C$4)*IFERROR(Management!$B$7:$B$36*1,0)))</f>
        <v>140</v>
      </c>
      <c r="AI21" s="58">
        <f>IF($A21="",-1,SUM(C21:AF21)-IFERROR(B21,999)/100000)</f>
        <v>48.9998</v>
      </c>
    </row>
    <row r="22" spans="1:35" ht="24" customHeight="1" x14ac:dyDescent="0.45">
      <c r="A22" s="54" t="str" cm="1">
        <f t="array" ref="A22">IFERROR(IF(INDEX(Management!$F$7:$F$36,ROWS($A$2:A22))="","",INDEX(Management!$F$7:$F$36,ROWS($A$2:A22))),"")</f>
        <v>Team27</v>
      </c>
      <c r="B22" s="55">
        <v>21</v>
      </c>
      <c r="C22" s="56">
        <v>8</v>
      </c>
      <c r="D22" s="56">
        <v>5</v>
      </c>
      <c r="E22" s="56">
        <v>5</v>
      </c>
      <c r="F22" s="56">
        <v>5</v>
      </c>
      <c r="G22" s="56">
        <v>5</v>
      </c>
      <c r="H22" s="56">
        <v>5</v>
      </c>
      <c r="I22" s="56">
        <v>5</v>
      </c>
      <c r="J22" s="56">
        <v>5</v>
      </c>
      <c r="K22" s="56">
        <v>5</v>
      </c>
      <c r="L22" s="56">
        <v>5</v>
      </c>
      <c r="M22" s="56">
        <v>0</v>
      </c>
      <c r="N22" s="56">
        <v>5</v>
      </c>
      <c r="O22" s="56">
        <v>5</v>
      </c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7">
        <f>IF($A22="","",SUM(C22:AF22))</f>
        <v>63</v>
      </c>
      <c r="AH22" s="57" cm="1">
        <f t="array" ref="AH22">IF($A22="","",SUMPRODUCT((ROW(Management!$B$7:$B$36)-ROW(Management!$B$9)+1&lt;=Management!$C$4)*IFERROR(Management!$B$7:$B$36*1,0)))</f>
        <v>140</v>
      </c>
      <c r="AI22" s="56">
        <f>IF($A22="",-1,SUM(C22:AF22)-IFERROR(B22,999)/100000)</f>
        <v>62.999789999999997</v>
      </c>
    </row>
    <row r="23" spans="1:35" ht="24" customHeight="1" x14ac:dyDescent="0.45">
      <c r="A23" s="54" t="str" cm="1">
        <f t="array" ref="A23">IFERROR(IF(INDEX(Management!$F$7:$F$36,ROWS($A$2:A23))="","",INDEX(Management!$F$7:$F$36,ROWS($A$2:A23))),"")</f>
        <v>Team28</v>
      </c>
      <c r="B23" s="55">
        <v>22</v>
      </c>
      <c r="C23" s="58">
        <v>7</v>
      </c>
      <c r="D23" s="58">
        <v>3</v>
      </c>
      <c r="E23" s="58">
        <v>7</v>
      </c>
      <c r="F23" s="58">
        <v>12</v>
      </c>
      <c r="G23" s="58">
        <v>9</v>
      </c>
      <c r="H23" s="58">
        <v>3</v>
      </c>
      <c r="I23" s="58">
        <v>1</v>
      </c>
      <c r="J23" s="58">
        <v>14</v>
      </c>
      <c r="K23" s="58">
        <v>8</v>
      </c>
      <c r="L23" s="58">
        <v>4</v>
      </c>
      <c r="M23" s="58">
        <v>2</v>
      </c>
      <c r="N23" s="58">
        <v>4</v>
      </c>
      <c r="O23" s="58">
        <v>10</v>
      </c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9">
        <f>IF($A23="","",SUM(C23:AF23))</f>
        <v>84</v>
      </c>
      <c r="AH23" s="59" cm="1">
        <f t="array" ref="AH23">IF($A23="","",SUMPRODUCT((ROW(Management!$B$7:$B$36)-ROW(Management!$B$9)+1&lt;=Management!$C$4)*IFERROR(Management!$B$7:$B$36*1,0)))</f>
        <v>140</v>
      </c>
      <c r="AI23" s="58">
        <f>IF($A23="",-1,SUM(C23:AF23)-IFERROR(B23,999)/100000)</f>
        <v>83.999780000000001</v>
      </c>
    </row>
    <row r="24" spans="1:35" ht="24" customHeight="1" x14ac:dyDescent="0.45">
      <c r="A24" s="54" t="str" cm="1">
        <f t="array" ref="A24">IFERROR(IF(INDEX(Management!$F$7:$F$36,ROWS($A$2:A24))="","",INDEX(Management!$F$7:$F$36,ROWS($A$2:A24))),"")</f>
        <v>Team29</v>
      </c>
      <c r="B24" s="55">
        <v>23</v>
      </c>
      <c r="C24" s="56">
        <v>2</v>
      </c>
      <c r="D24" s="56">
        <v>9</v>
      </c>
      <c r="E24" s="56">
        <v>8</v>
      </c>
      <c r="F24" s="56">
        <v>3</v>
      </c>
      <c r="G24" s="56">
        <v>10</v>
      </c>
      <c r="H24" s="56">
        <v>0</v>
      </c>
      <c r="I24" s="56">
        <v>5</v>
      </c>
      <c r="J24" s="56">
        <v>9</v>
      </c>
      <c r="K24" s="56">
        <v>5</v>
      </c>
      <c r="L24" s="56">
        <v>5</v>
      </c>
      <c r="M24" s="56">
        <v>1</v>
      </c>
      <c r="N24" s="56">
        <v>5</v>
      </c>
      <c r="O24" s="56">
        <v>5</v>
      </c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7">
        <f>IF($A24="","",SUM(C24:AF24))</f>
        <v>67</v>
      </c>
      <c r="AH24" s="57" cm="1">
        <f t="array" ref="AH24">IF($A24="","",SUMPRODUCT((ROW(Management!$B$7:$B$36)-ROW(Management!$B$9)+1&lt;=Management!$C$4)*IFERROR(Management!$B$7:$B$36*1,0)))</f>
        <v>140</v>
      </c>
      <c r="AI24" s="56">
        <f>IF($A24="",-1,SUM(C24:AF24)-IFERROR(B24,999)/100000)</f>
        <v>66.999769999999998</v>
      </c>
    </row>
    <row r="25" spans="1:35" ht="24" customHeight="1" x14ac:dyDescent="0.45">
      <c r="A25" s="54" t="str" cm="1">
        <f t="array" ref="A25">IFERROR(IF(INDEX(Management!$F$7:$F$36,ROWS($A$2:A25))="","",INDEX(Management!$F$7:$F$36,ROWS($A$2:A25))),"")</f>
        <v>Team30</v>
      </c>
      <c r="B25" s="55">
        <v>24</v>
      </c>
      <c r="C25" s="58">
        <v>6</v>
      </c>
      <c r="D25" s="58">
        <v>10</v>
      </c>
      <c r="E25" s="58">
        <v>9</v>
      </c>
      <c r="F25" s="58">
        <v>10</v>
      </c>
      <c r="G25" s="58">
        <v>9</v>
      </c>
      <c r="H25" s="58">
        <v>4</v>
      </c>
      <c r="I25" s="58">
        <v>10</v>
      </c>
      <c r="J25" s="58">
        <v>9</v>
      </c>
      <c r="K25" s="58">
        <v>4</v>
      </c>
      <c r="L25" s="58">
        <v>3</v>
      </c>
      <c r="M25" s="58">
        <v>0</v>
      </c>
      <c r="N25" s="58">
        <v>4</v>
      </c>
      <c r="O25" s="58">
        <v>4</v>
      </c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9">
        <f>IF($A25="","",SUM(C25:AF25))</f>
        <v>82</v>
      </c>
      <c r="AH25" s="59" cm="1">
        <f t="array" ref="AH25">IF($A25="","",SUMPRODUCT((ROW(Management!$B$7:$B$36)-ROW(Management!$B$9)+1&lt;=Management!$C$4)*IFERROR(Management!$B$7:$B$36*1,0)))</f>
        <v>140</v>
      </c>
      <c r="AI25" s="58">
        <f>IF($A25="",-1,SUM(C25:AF25)-IFERROR(B25,999)/100000)</f>
        <v>81.999759999999995</v>
      </c>
    </row>
    <row r="26" spans="1:35" ht="24" customHeight="1" x14ac:dyDescent="0.45">
      <c r="A26" s="54" t="str" cm="1">
        <f t="array" ref="A26">IFERROR(IF(INDEX(Management!$F$7:$F$36,ROWS($A$2:A26))="","",INDEX(Management!$F$7:$F$36,ROWS($A$2:A26))),"")</f>
        <v>Team31</v>
      </c>
      <c r="B26" s="55">
        <v>25</v>
      </c>
      <c r="C26" s="56">
        <v>4</v>
      </c>
      <c r="D26" s="56">
        <v>6</v>
      </c>
      <c r="E26" s="56">
        <v>4</v>
      </c>
      <c r="F26" s="56">
        <v>15</v>
      </c>
      <c r="G26" s="56">
        <v>2</v>
      </c>
      <c r="H26" s="56">
        <v>4</v>
      </c>
      <c r="I26" s="56">
        <v>6</v>
      </c>
      <c r="J26" s="56">
        <v>9</v>
      </c>
      <c r="K26" s="56">
        <v>6</v>
      </c>
      <c r="L26" s="56">
        <v>6</v>
      </c>
      <c r="M26" s="56">
        <v>0</v>
      </c>
      <c r="N26" s="56">
        <v>6</v>
      </c>
      <c r="O26" s="56">
        <v>6</v>
      </c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7">
        <f>IF($A26="","",SUM(C26:AF26))</f>
        <v>74</v>
      </c>
      <c r="AH26" s="57" cm="1">
        <f t="array" ref="AH26">IF($A26="","",SUMPRODUCT((ROW(Management!$B$7:$B$36)-ROW(Management!$B$9)+1&lt;=Management!$C$4)*IFERROR(Management!$B$7:$B$36*1,0)))</f>
        <v>140</v>
      </c>
      <c r="AI26" s="56">
        <f>IF($A26="",-1,SUM(C26:AF26)-IFERROR(B26,999)/100000)</f>
        <v>73.999750000000006</v>
      </c>
    </row>
    <row r="27" spans="1:35" ht="24" customHeight="1" x14ac:dyDescent="0.45">
      <c r="A27" s="54" t="str" cm="1">
        <f t="array" ref="A27">IFERROR(IF(INDEX(Management!$F$7:$F$36,ROWS($A$2:A27))="","",INDEX(Management!$F$7:$F$36,ROWS($A$2:A27))),"")</f>
        <v>Team32</v>
      </c>
      <c r="B27" s="55">
        <v>26</v>
      </c>
      <c r="C27" s="58">
        <v>8</v>
      </c>
      <c r="D27" s="58">
        <v>8</v>
      </c>
      <c r="E27" s="58">
        <v>9</v>
      </c>
      <c r="F27" s="58">
        <v>18</v>
      </c>
      <c r="G27" s="58">
        <v>3</v>
      </c>
      <c r="H27" s="58">
        <v>4</v>
      </c>
      <c r="I27" s="58">
        <v>4</v>
      </c>
      <c r="J27" s="58">
        <v>4</v>
      </c>
      <c r="K27" s="58">
        <v>4</v>
      </c>
      <c r="L27" s="58">
        <v>4</v>
      </c>
      <c r="M27" s="58">
        <v>0</v>
      </c>
      <c r="N27" s="58">
        <v>4</v>
      </c>
      <c r="O27" s="58">
        <v>4</v>
      </c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9">
        <f>IF($A27="","",SUM(C27:AF27))</f>
        <v>74</v>
      </c>
      <c r="AH27" s="59" cm="1">
        <f t="array" ref="AH27">IF($A27="","",SUMPRODUCT((ROW(Management!$B$7:$B$36)-ROW(Management!$B$9)+1&lt;=Management!$C$4)*IFERROR(Management!$B$7:$B$36*1,0)))</f>
        <v>140</v>
      </c>
      <c r="AI27" s="58">
        <f>IF($A27="",-1,SUM(C27:AF27)-IFERROR(B27,999)/100000)</f>
        <v>73.999740000000003</v>
      </c>
    </row>
    <row r="28" spans="1:35" ht="24" customHeight="1" x14ac:dyDescent="0.45">
      <c r="A28" s="54" t="str" cm="1">
        <f t="array" ref="A28">IFERROR(IF(INDEX(Management!$F$7:$F$36,ROWS($A$2:A28))="","",INDEX(Management!$F$7:$F$36,ROWS($A$2:A28))),"")</f>
        <v>Team33</v>
      </c>
      <c r="B28" s="55">
        <v>27</v>
      </c>
      <c r="C28" s="56">
        <v>8</v>
      </c>
      <c r="D28" s="56">
        <v>8</v>
      </c>
      <c r="E28" s="56">
        <v>6</v>
      </c>
      <c r="F28" s="56">
        <v>3</v>
      </c>
      <c r="G28" s="56">
        <v>3</v>
      </c>
      <c r="H28" s="56">
        <v>1</v>
      </c>
      <c r="I28" s="56">
        <v>6</v>
      </c>
      <c r="J28" s="56">
        <v>4</v>
      </c>
      <c r="K28" s="56">
        <v>6</v>
      </c>
      <c r="L28" s="56">
        <v>6</v>
      </c>
      <c r="M28" s="56">
        <v>0</v>
      </c>
      <c r="N28" s="56">
        <v>6</v>
      </c>
      <c r="O28" s="56">
        <v>6</v>
      </c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7">
        <f>IF($A28="","",SUM(C28:AF28))</f>
        <v>63</v>
      </c>
      <c r="AH28" s="57" cm="1">
        <f t="array" ref="AH28">IF($A28="","",SUMPRODUCT((ROW(Management!$B$7:$B$36)-ROW(Management!$B$9)+1&lt;=Management!$C$4)*IFERROR(Management!$B$7:$B$36*1,0)))</f>
        <v>140</v>
      </c>
      <c r="AI28" s="56">
        <f>IF($A28="",-1,SUM(C28:AF28)-IFERROR(B28,999)/100000)</f>
        <v>62.99973</v>
      </c>
    </row>
    <row r="29" spans="1:35" ht="24" customHeight="1" x14ac:dyDescent="0.45">
      <c r="A29" s="54" t="str" cm="1">
        <f t="array" ref="A29">IFERROR(IF(INDEX(Management!$F$7:$F$36,ROWS($A$2:A29))="","",INDEX(Management!$F$7:$F$36,ROWS($A$2:A29))),"")</f>
        <v>Team34</v>
      </c>
      <c r="B29" s="55">
        <v>28</v>
      </c>
      <c r="C29" s="58">
        <v>7</v>
      </c>
      <c r="D29" s="58">
        <v>3</v>
      </c>
      <c r="E29" s="58">
        <v>7</v>
      </c>
      <c r="F29" s="58">
        <v>12</v>
      </c>
      <c r="G29" s="58">
        <v>9</v>
      </c>
      <c r="H29" s="58">
        <v>3</v>
      </c>
      <c r="I29" s="58">
        <v>1</v>
      </c>
      <c r="J29" s="58">
        <v>3</v>
      </c>
      <c r="K29" s="58">
        <v>1</v>
      </c>
      <c r="L29" s="58">
        <v>1</v>
      </c>
      <c r="M29" s="58">
        <v>0</v>
      </c>
      <c r="N29" s="58">
        <v>1</v>
      </c>
      <c r="O29" s="58">
        <v>1</v>
      </c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9">
        <f>IF($A29="","",SUM(C29:AF29))</f>
        <v>49</v>
      </c>
      <c r="AH29" s="59" cm="1">
        <f t="array" ref="AH29">IF($A29="","",SUMPRODUCT((ROW(Management!$B$7:$B$36)-ROW(Management!$B$9)+1&lt;=Management!$C$4)*IFERROR(Management!$B$7:$B$36*1,0)))</f>
        <v>140</v>
      </c>
      <c r="AI29" s="58">
        <f>IF($A29="",-1,SUM(C29:AF29)-IFERROR(B29,999)/100000)</f>
        <v>48.999720000000003</v>
      </c>
    </row>
    <row r="30" spans="1:35" ht="24" customHeight="1" x14ac:dyDescent="0.45">
      <c r="A30" s="54" t="str" cm="1">
        <f t="array" ref="A30">IFERROR(IF(INDEX(Management!$F$7:$F$36,ROWS($A$2:A30))="","",INDEX(Management!$F$7:$F$36,ROWS($A$2:A30))),"")</f>
        <v>Team35</v>
      </c>
      <c r="B30" s="55">
        <v>29</v>
      </c>
      <c r="C30" s="56">
        <v>8</v>
      </c>
      <c r="D30" s="56">
        <v>5</v>
      </c>
      <c r="E30" s="56">
        <v>5</v>
      </c>
      <c r="F30" s="56">
        <v>5</v>
      </c>
      <c r="G30" s="56">
        <v>5</v>
      </c>
      <c r="H30" s="56">
        <v>5</v>
      </c>
      <c r="I30" s="56">
        <v>5</v>
      </c>
      <c r="J30" s="56">
        <v>5</v>
      </c>
      <c r="K30" s="56">
        <v>5</v>
      </c>
      <c r="L30" s="56">
        <v>5</v>
      </c>
      <c r="M30" s="56">
        <v>0</v>
      </c>
      <c r="N30" s="56">
        <v>5</v>
      </c>
      <c r="O30" s="56">
        <v>5</v>
      </c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7">
        <f>IF($A30="","",SUM(C30:AF30))</f>
        <v>63</v>
      </c>
      <c r="AH30" s="57" cm="1">
        <f t="array" ref="AH30">IF($A30="","",SUMPRODUCT((ROW(Management!$B$7:$B$36)-ROW(Management!$B$9)+1&lt;=Management!$C$4)*IFERROR(Management!$B$7:$B$36*1,0)))</f>
        <v>140</v>
      </c>
      <c r="AI30" s="56">
        <f>IF($A30="",-1,SUM(C30:AF30)-IFERROR(B30,999)/100000)</f>
        <v>62.99971</v>
      </c>
    </row>
    <row r="31" spans="1:35" ht="24" customHeight="1" x14ac:dyDescent="0.45">
      <c r="A31" s="61" t="str" cm="1">
        <f t="array" ref="A31">IFERROR(IF(INDEX(Management!$F$7:$F$36,ROWS($A$2:A31))="","",INDEX(Management!$F$7:$F$36,ROWS($A$2:A31))),"")</f>
        <v>Team36</v>
      </c>
      <c r="B31" s="62">
        <v>30</v>
      </c>
      <c r="C31" s="63">
        <v>7</v>
      </c>
      <c r="D31" s="63">
        <v>3</v>
      </c>
      <c r="E31" s="63">
        <v>7</v>
      </c>
      <c r="F31" s="63">
        <v>12</v>
      </c>
      <c r="G31" s="63">
        <v>9</v>
      </c>
      <c r="H31" s="63">
        <v>3</v>
      </c>
      <c r="I31" s="63">
        <v>1</v>
      </c>
      <c r="J31" s="63">
        <v>14</v>
      </c>
      <c r="K31" s="63">
        <v>8</v>
      </c>
      <c r="L31" s="63">
        <v>4</v>
      </c>
      <c r="M31" s="63">
        <v>2</v>
      </c>
      <c r="N31" s="63">
        <v>4</v>
      </c>
      <c r="O31" s="63">
        <v>4</v>
      </c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4">
        <f>IF($A31="","",SUM(C31:AF31))</f>
        <v>78</v>
      </c>
      <c r="AH31" s="64" cm="1">
        <f t="array" ref="AH31">IF($A31="","",SUMPRODUCT((ROW(Management!$B$7:$B$36)-ROW(Management!$B$9)+1&lt;=Management!$C$4)*IFERROR(Management!$B$7:$B$36*1,0)))</f>
        <v>140</v>
      </c>
      <c r="AI31" s="63">
        <f>IF($A31="",-1,SUM(C31:AF31)-IFERROR(B31,999)/100000)</f>
        <v>77.999700000000004</v>
      </c>
    </row>
    <row r="32" spans="1:35" x14ac:dyDescent="0.45">
      <c r="A32" s="51"/>
      <c r="B32" s="52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</row>
    <row r="33" spans="1:35" x14ac:dyDescent="0.45">
      <c r="A33" s="51"/>
      <c r="B33" s="52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</row>
    <row r="34" spans="1:35" x14ac:dyDescent="0.45">
      <c r="A34" s="51"/>
      <c r="B34" s="52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</row>
    <row r="35" spans="1:35" x14ac:dyDescent="0.45">
      <c r="A35" s="51"/>
      <c r="B35" s="52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</row>
    <row r="36" spans="1:35" x14ac:dyDescent="0.45">
      <c r="A36" s="51"/>
      <c r="B36" s="52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</row>
    <row r="37" spans="1:35" x14ac:dyDescent="0.45">
      <c r="A37" s="51"/>
      <c r="B37" s="52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</row>
    <row r="38" spans="1:35" x14ac:dyDescent="0.45">
      <c r="A38" s="51"/>
      <c r="B38" s="52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</row>
    <row r="39" spans="1:35" x14ac:dyDescent="0.45">
      <c r="A39" s="51"/>
      <c r="B39" s="52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</row>
    <row r="40" spans="1:35" x14ac:dyDescent="0.45">
      <c r="A40" s="51"/>
      <c r="B40" s="52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EA705-5EFE-4392-A9CC-35077D7F5958}">
  <dimension ref="A1:AG40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RowHeight="14.25" x14ac:dyDescent="0.45"/>
  <cols>
    <col min="1" max="1" width="10.6640625" style="68" customWidth="1"/>
    <col min="2" max="2" width="29.46484375" style="68" customWidth="1"/>
    <col min="3" max="3" width="14" style="68" customWidth="1"/>
    <col min="4" max="33" width="12.46484375" style="68" customWidth="1"/>
    <col min="34" max="16384" width="9.06640625" style="68"/>
  </cols>
  <sheetData>
    <row r="1" spans="1:33" ht="32" customHeight="1" thickBot="1" x14ac:dyDescent="0.5">
      <c r="A1" s="75" t="s">
        <v>13</v>
      </c>
      <c r="B1" s="77" t="s">
        <v>10</v>
      </c>
      <c r="C1" s="105" t="s">
        <v>14</v>
      </c>
      <c r="D1" s="75" t="str" cm="1">
        <f t="array" ref="D1">IFERROR(IF(COLUMNS($D1:D1)&lt;=Management!$C$4,IF(LEFT(INDEX(Management!$C$7:$C$36,COLUMNS($D1:D1)),6)="Round ","R"&amp;MID(INDEX(Management!$C$7:$C$36,COLUMNS($D1:D1)),7,10),LEFT(INDEX(Management!$C$7:$C$36,COLUMNS($D1:D1)),7)),""),"")</f>
        <v>Rond de</v>
      </c>
      <c r="E1" s="76" t="str" cm="1">
        <f t="array" ref="E1">IFERROR(IF(COLUMNS($D1:E1)&lt;=Management!$C$4,IF(LEFT(INDEX(Management!$C$7:$C$36,COLUMNS($D1:E1)),6)="Round ","R"&amp;MID(INDEX(Management!$C$7:$C$36,COLUMNS($D1:E1)),7,10),LEFT(INDEX(Management!$C$7:$C$36,COLUMNS($D1:E1)),7)),""),"")</f>
        <v>Woordsl</v>
      </c>
      <c r="F1" s="76" t="str" cm="1">
        <f t="array" ref="F1">IFERROR(IF(COLUMNS($D1:F1)&lt;=Management!$C$4,IF(LEFT(INDEX(Management!$C$7:$C$36,COLUMNS($D1:F1)),6)="Round ","R"&amp;MID(INDEX(Management!$C$7:$C$36,COLUMNS($D1:F1)),7,10),LEFT(INDEX(Management!$C$7:$C$36,COLUMNS($D1:F1)),7)),""),"")</f>
        <v>Lokaal</v>
      </c>
      <c r="G1" s="76" t="str" cm="1">
        <f t="array" ref="G1">IFERROR(IF(COLUMNS($D1:G1)&lt;=Management!$C$4,IF(LEFT(INDEX(Management!$C$7:$C$36,COLUMNS($D1:G1)),6)="Round ","R"&amp;MID(INDEX(Management!$C$7:$C$36,COLUMNS($D1:G1)),7,10),LEFT(INDEX(Management!$C$7:$C$36,COLUMNS($D1:G1)),7)),""),"")</f>
        <v>Tussenr</v>
      </c>
      <c r="H1" s="76" t="str" cm="1">
        <f t="array" ref="H1">IFERROR(IF(COLUMNS($D1:H1)&lt;=Management!$C$4,IF(LEFT(INDEX(Management!$C$7:$C$36,COLUMNS($D1:H1)),6)="Round ","R"&amp;MID(INDEX(Management!$C$7:$C$36,COLUMNS($D1:H1)),7,10),LEFT(INDEX(Management!$C$7:$C$36,COLUMNS($D1:H1)),7)),""),"")</f>
        <v>Actua</v>
      </c>
      <c r="I1" s="76" t="str" cm="1">
        <f t="array" ref="I1">IFERROR(IF(COLUMNS($D1:I1)&lt;=Management!$C$4,IF(LEFT(INDEX(Management!$C$7:$C$36,COLUMNS($D1:I1)),6)="Round ","R"&amp;MID(INDEX(Management!$C$7:$C$36,COLUMNS($D1:I1)),7,10),LEFT(INDEX(Management!$C$7:$C$36,COLUMNS($D1:I1)),7)),""),"")</f>
        <v>R6</v>
      </c>
      <c r="J1" s="76" t="str" cm="1">
        <f t="array" ref="J1">IFERROR(IF(COLUMNS($D1:J1)&lt;=Management!$C$4,IF(LEFT(INDEX(Management!$C$7:$C$36,COLUMNS($D1:J1)),6)="Round ","R"&amp;MID(INDEX(Management!$C$7:$C$36,COLUMNS($D1:J1)),7,10),LEFT(INDEX(Management!$C$7:$C$36,COLUMNS($D1:J1)),7)),""),"")</f>
        <v>R7</v>
      </c>
      <c r="K1" s="76" t="str" cm="1">
        <f t="array" ref="K1">IFERROR(IF(COLUMNS($D1:K1)&lt;=Management!$C$4,IF(LEFT(INDEX(Management!$C$7:$C$36,COLUMNS($D1:K1)),6)="Round ","R"&amp;MID(INDEX(Management!$C$7:$C$36,COLUMNS($D1:K1)),7,10),LEFT(INDEX(Management!$C$7:$C$36,COLUMNS($D1:K1)),7)),""),"")</f>
        <v>Tussenr</v>
      </c>
      <c r="L1" s="76" t="str" cm="1">
        <f t="array" ref="L1">IFERROR(IF(COLUMNS($D1:L1)&lt;=Management!$C$4,IF(LEFT(INDEX(Management!$C$7:$C$36,COLUMNS($D1:L1)),6)="Round ","R"&amp;MID(INDEX(Management!$C$7:$C$36,COLUMNS($D1:L1)),7,10),LEFT(INDEX(Management!$C$7:$C$36,COLUMNS($D1:L1)),7)),""),"")</f>
        <v>R9</v>
      </c>
      <c r="M1" s="76" t="str" cm="1">
        <f t="array" ref="M1">IFERROR(IF(COLUMNS($D1:M1)&lt;=Management!$C$4,IF(LEFT(INDEX(Management!$C$7:$C$36,COLUMNS($D1:M1)),6)="Round ","R"&amp;MID(INDEX(Management!$C$7:$C$36,COLUMNS($D1:M1)),7,10),LEFT(INDEX(Management!$C$7:$C$36,COLUMNS($D1:M1)),7)),""),"")</f>
        <v>R10</v>
      </c>
      <c r="N1" s="76" t="str" cm="1">
        <f t="array" ref="N1">IFERROR(IF(COLUMNS($D1:N1)&lt;=Management!$C$4,IF(LEFT(INDEX(Management!$C$7:$C$36,COLUMNS($D1:N1)),6)="Round ","R"&amp;MID(INDEX(Management!$C$7:$C$36,COLUMNS($D1:N1)),7,10),LEFT(INDEX(Management!$C$7:$C$36,COLUMNS($D1:N1)),7)),""),"")</f>
        <v>Doe-ron</v>
      </c>
      <c r="O1" s="76" t="str" cm="1">
        <f t="array" ref="O1">IFERROR(IF(COLUMNS($D1:O1)&lt;=Management!$C$4,IF(LEFT(INDEX(Management!$C$7:$C$36,COLUMNS($D1:O1)),6)="Round ","R"&amp;MID(INDEX(Management!$C$7:$C$36,COLUMNS($D1:O1)),7,10),LEFT(INDEX(Management!$C$7:$C$36,COLUMNS($D1:O1)),7)),""),"")</f>
        <v>R12</v>
      </c>
      <c r="P1" s="76" t="str" cm="1">
        <f t="array" ref="P1">IFERROR(IF(COLUMNS($D1:P1)&lt;=Management!$C$4,IF(LEFT(INDEX(Management!$C$7:$C$36,COLUMNS($D1:P1)),6)="Round ","R"&amp;MID(INDEX(Management!$C$7:$C$36,COLUMNS($D1:P1)),7,10),LEFT(INDEX(Management!$C$7:$C$36,COLUMNS($D1:P1)),7)),""),"")</f>
        <v>R13</v>
      </c>
      <c r="Q1" s="76" t="str" cm="1">
        <f t="array" ref="Q1">IFERROR(IF(COLUMNS($D1:Q1)&lt;=Management!$C$4,IF(LEFT(INDEX(Management!$C$7:$C$36,COLUMNS($D1:Q1)),6)="Round ","R"&amp;MID(INDEX(Management!$C$7:$C$36,COLUMNS($D1:Q1)),7,10),LEFT(INDEX(Management!$C$7:$C$36,COLUMNS($D1:Q1)),7)),""),"")</f>
        <v/>
      </c>
      <c r="R1" s="76" t="str" cm="1">
        <f t="array" ref="R1">IFERROR(IF(COLUMNS($D1:R1)&lt;=Management!$C$4,IF(LEFT(INDEX(Management!$C$7:$C$36,COLUMNS($D1:R1)),6)="Round ","R"&amp;MID(INDEX(Management!$C$7:$C$36,COLUMNS($D1:R1)),7,10),LEFT(INDEX(Management!$C$7:$C$36,COLUMNS($D1:R1)),7)),""),"")</f>
        <v/>
      </c>
      <c r="S1" s="76" t="str" cm="1">
        <f t="array" ref="S1">IFERROR(IF(COLUMNS($D1:S1)&lt;=Management!$C$4,IF(LEFT(INDEX(Management!$C$7:$C$36,COLUMNS($D1:S1)),6)="Round ","R"&amp;MID(INDEX(Management!$C$7:$C$36,COLUMNS($D1:S1)),7,10),LEFT(INDEX(Management!$C$7:$C$36,COLUMNS($D1:S1)),7)),""),"")</f>
        <v/>
      </c>
      <c r="T1" s="76" t="str" cm="1">
        <f t="array" ref="T1">IFERROR(IF(COLUMNS($D1:T1)&lt;=Management!$C$4,IF(LEFT(INDEX(Management!$C$7:$C$36,COLUMNS($D1:T1)),6)="Round ","R"&amp;MID(INDEX(Management!$C$7:$C$36,COLUMNS($D1:T1)),7,10),LEFT(INDEX(Management!$C$7:$C$36,COLUMNS($D1:T1)),7)),""),"")</f>
        <v/>
      </c>
      <c r="U1" s="76" t="str" cm="1">
        <f t="array" ref="U1">IFERROR(IF(COLUMNS($D1:U1)&lt;=Management!$C$4,IF(LEFT(INDEX(Management!$C$7:$C$36,COLUMNS($D1:U1)),6)="Round ","R"&amp;MID(INDEX(Management!$C$7:$C$36,COLUMNS($D1:U1)),7,10),LEFT(INDEX(Management!$C$7:$C$36,COLUMNS($D1:U1)),7)),""),"")</f>
        <v/>
      </c>
      <c r="V1" s="76" t="str" cm="1">
        <f t="array" ref="V1">IFERROR(IF(COLUMNS($D1:V1)&lt;=Management!$C$4,IF(LEFT(INDEX(Management!$C$7:$C$36,COLUMNS($D1:V1)),6)="Round ","R"&amp;MID(INDEX(Management!$C$7:$C$36,COLUMNS($D1:V1)),7,10),LEFT(INDEX(Management!$C$7:$C$36,COLUMNS($D1:V1)),7)),""),"")</f>
        <v/>
      </c>
      <c r="W1" s="76" t="str" cm="1">
        <f t="array" ref="W1">IFERROR(IF(COLUMNS($D1:W1)&lt;=Management!$C$4,IF(LEFT(INDEX(Management!$C$7:$C$36,COLUMNS($D1:W1)),6)="Round ","R"&amp;MID(INDEX(Management!$C$7:$C$36,COLUMNS($D1:W1)),7,10),LEFT(INDEX(Management!$C$7:$C$36,COLUMNS($D1:W1)),7)),""),"")</f>
        <v/>
      </c>
      <c r="X1" s="76" t="str" cm="1">
        <f t="array" ref="X1">IFERROR(IF(COLUMNS($D1:X1)&lt;=Management!$C$4,IF(LEFT(INDEX(Management!$C$7:$C$36,COLUMNS($D1:X1)),6)="Round ","R"&amp;MID(INDEX(Management!$C$7:$C$36,COLUMNS($D1:X1)),7,10),LEFT(INDEX(Management!$C$7:$C$36,COLUMNS($D1:X1)),7)),""),"")</f>
        <v/>
      </c>
      <c r="Y1" s="76" t="str" cm="1">
        <f t="array" ref="Y1">IFERROR(IF(COLUMNS($D1:Y1)&lt;=Management!$C$4,IF(LEFT(INDEX(Management!$C$7:$C$36,COLUMNS($D1:Y1)),6)="Round ","R"&amp;MID(INDEX(Management!$C$7:$C$36,COLUMNS($D1:Y1)),7,10),LEFT(INDEX(Management!$C$7:$C$36,COLUMNS($D1:Y1)),7)),""),"")</f>
        <v/>
      </c>
      <c r="Z1" s="76" t="str" cm="1">
        <f t="array" ref="Z1">IFERROR(IF(COLUMNS($D1:Z1)&lt;=Management!$C$4,IF(LEFT(INDEX(Management!$C$7:$C$36,COLUMNS($D1:Z1)),6)="Round ","R"&amp;MID(INDEX(Management!$C$7:$C$36,COLUMNS($D1:Z1)),7,10),LEFT(INDEX(Management!$C$7:$C$36,COLUMNS($D1:Z1)),7)),""),"")</f>
        <v/>
      </c>
      <c r="AA1" s="76" t="str" cm="1">
        <f t="array" ref="AA1">IFERROR(IF(COLUMNS($D1:AA1)&lt;=Management!$C$4,IF(LEFT(INDEX(Management!$C$7:$C$36,COLUMNS($D1:AA1)),6)="Round ","R"&amp;MID(INDEX(Management!$C$7:$C$36,COLUMNS($D1:AA1)),7,10),LEFT(INDEX(Management!$C$7:$C$36,COLUMNS($D1:AA1)),7)),""),"")</f>
        <v/>
      </c>
      <c r="AB1" s="76" t="str" cm="1">
        <f t="array" ref="AB1">IFERROR(IF(COLUMNS($D1:AB1)&lt;=Management!$C$4,IF(LEFT(INDEX(Management!$C$7:$C$36,COLUMNS($D1:AB1)),6)="Round ","R"&amp;MID(INDEX(Management!$C$7:$C$36,COLUMNS($D1:AB1)),7,10),LEFT(INDEX(Management!$C$7:$C$36,COLUMNS($D1:AB1)),7)),""),"")</f>
        <v/>
      </c>
      <c r="AC1" s="76" t="str" cm="1">
        <f t="array" ref="AC1">IFERROR(IF(COLUMNS($D1:AC1)&lt;=Management!$C$4,IF(LEFT(INDEX(Management!$C$7:$C$36,COLUMNS($D1:AC1)),6)="Round ","R"&amp;MID(INDEX(Management!$C$7:$C$36,COLUMNS($D1:AC1)),7,10),LEFT(INDEX(Management!$C$7:$C$36,COLUMNS($D1:AC1)),7)),""),"")</f>
        <v/>
      </c>
      <c r="AD1" s="76" t="str" cm="1">
        <f t="array" ref="AD1">IFERROR(IF(COLUMNS($D1:AD1)&lt;=Management!$C$4,IF(LEFT(INDEX(Management!$C$7:$C$36,COLUMNS($D1:AD1)),6)="Round ","R"&amp;MID(INDEX(Management!$C$7:$C$36,COLUMNS($D1:AD1)),7,10),LEFT(INDEX(Management!$C$7:$C$36,COLUMNS($D1:AD1)),7)),""),"")</f>
        <v/>
      </c>
      <c r="AE1" s="76" t="str" cm="1">
        <f t="array" ref="AE1">IFERROR(IF(COLUMNS($D1:AE1)&lt;=Management!$C$4,IF(LEFT(INDEX(Management!$C$7:$C$36,COLUMNS($D1:AE1)),6)="Round ","R"&amp;MID(INDEX(Management!$C$7:$C$36,COLUMNS($D1:AE1)),7,10),LEFT(INDEX(Management!$C$7:$C$36,COLUMNS($D1:AE1)),7)),""),"")</f>
        <v/>
      </c>
      <c r="AF1" s="76" t="str" cm="1">
        <f t="array" ref="AF1">IFERROR(IF(COLUMNS($D1:AF1)&lt;=Management!$C$4,IF(LEFT(INDEX(Management!$C$7:$C$36,COLUMNS($D1:AF1)),6)="Round ","R"&amp;MID(INDEX(Management!$C$7:$C$36,COLUMNS($D1:AF1)),7,10),LEFT(INDEX(Management!$C$7:$C$36,COLUMNS($D1:AF1)),7)),""),"")</f>
        <v/>
      </c>
      <c r="AG1" s="77" t="str" cm="1">
        <f t="array" ref="AG1">IFERROR(IF(COLUMNS($D1:AG1)&lt;=Management!$C$4,IF(LEFT(INDEX(Management!$C$7:$C$36,COLUMNS($D1:AG1)),6)="Round ","R"&amp;MID(INDEX(Management!$C$7:$C$36,COLUMNS($D1:AG1)),7,10),LEFT(INDEX(Management!$C$7:$C$36,COLUMNS($D1:AG1)),7)),""),"")</f>
        <v/>
      </c>
    </row>
    <row r="2" spans="1:33" ht="38" customHeight="1" thickBot="1" x14ac:dyDescent="0.5">
      <c r="A2" s="65">
        <f>IF(ROWS($A$2:A2)&gt;COUNTA(Management!$F$7:$F$36),"",ROWS($A$2:A2))</f>
        <v>1</v>
      </c>
      <c r="B2" s="91" t="str">
        <f>IF($A2="","",INDEX(Dashboard!$A$2:$A$31,MATCH(LARGE(Dashboard!$AI$2:$AI$31,$A2),Dashboard!$AI$2:$AI$31,0)))</f>
        <v>Team28</v>
      </c>
      <c r="C2" s="106" t="str">
        <f>IF($A2="","",INDEX(Dashboard!$AG$2:$AG$31,MATCH(LARGE(Dashboard!$AI$2:$AI$31,$A2),Dashboard!$AI$2:$AI$31,0))&amp;" / "&amp;INDEX(Dashboard!$AH$2:$AH$31,MATCH(LARGE(Dashboard!$AI$2:$AI$31,$A2),Dashboard!$AI$2:$AI$31,0)))</f>
        <v>84 / 140</v>
      </c>
      <c r="D2" s="98" t="str" cm="1">
        <f t="array" ref="D2">IF(OR($A2="",COLUMNS($D2:D2)&gt;Management!$C$4),"",N(INDEX(Dashboard!$C$2:$AF$31,MATCH(LARGE(Dashboard!$AI$2:$AI$31,$A2),Dashboard!$AI$2:$AI$31,0),COLUMNS($D2:D2)))&amp;"/"&amp;INDEX(Management!$B$7:$B$36,COLUMNS($D2:D2)))</f>
        <v>7/10</v>
      </c>
      <c r="E2" s="66" t="str" cm="1">
        <f t="array" ref="E2">IF(OR($A2="",COLUMNS($D2:E2)&gt;Management!$C$4),"",N(INDEX(Dashboard!$C$2:$AF$31,MATCH(LARGE(Dashboard!$AI$2:$AI$31,$A2),Dashboard!$AI$2:$AI$31,0),COLUMNS($D2:E2)))&amp;"/"&amp;INDEX(Management!$B$7:$B$36,COLUMNS($D2:E2)))</f>
        <v>3/10</v>
      </c>
      <c r="F2" s="66" t="str" cm="1">
        <f t="array" ref="F2">IF(OR($A2="",COLUMNS($D2:F2)&gt;Management!$C$4),"",N(INDEX(Dashboard!$C$2:$AF$31,MATCH(LARGE(Dashboard!$AI$2:$AI$31,$A2),Dashboard!$AI$2:$AI$31,0),COLUMNS($D2:F2)))&amp;"/"&amp;INDEX(Management!$B$7:$B$36,COLUMNS($D2:F2)))</f>
        <v>7/10</v>
      </c>
      <c r="G2" s="66" t="str" cm="1">
        <f t="array" ref="G2">IF(OR($A2="",COLUMNS($D2:G2)&gt;Management!$C$4),"",N(INDEX(Dashboard!$C$2:$AF$31,MATCH(LARGE(Dashboard!$AI$2:$AI$31,$A2),Dashboard!$AI$2:$AI$31,0),COLUMNS($D2:G2)))&amp;"/"&amp;INDEX(Management!$B$7:$B$36,COLUMNS($D2:G2)))</f>
        <v>12/20</v>
      </c>
      <c r="H2" s="66" t="str" cm="1">
        <f t="array" ref="H2">IF(OR($A2="",COLUMNS($D2:H2)&gt;Management!$C$4),"",N(INDEX(Dashboard!$C$2:$AF$31,MATCH(LARGE(Dashboard!$AI$2:$AI$31,$A2),Dashboard!$AI$2:$AI$31,0),COLUMNS($D2:H2)))&amp;"/"&amp;INDEX(Management!$B$7:$B$36,COLUMNS($D2:H2)))</f>
        <v>9/10</v>
      </c>
      <c r="I2" s="66" t="str" cm="1">
        <f t="array" ref="I2">IF(OR($A2="",COLUMNS($D2:I2)&gt;Management!$C$4),"",N(INDEX(Dashboard!$C$2:$AF$31,MATCH(LARGE(Dashboard!$AI$2:$AI$31,$A2),Dashboard!$AI$2:$AI$31,0),COLUMNS($D2:I2)))&amp;"/"&amp;INDEX(Management!$B$7:$B$36,COLUMNS($D2:I2)))</f>
        <v>3/10</v>
      </c>
      <c r="J2" s="66" t="str" cm="1">
        <f t="array" ref="J2">IF(OR($A2="",COLUMNS($D2:J2)&gt;Management!$C$4),"",N(INDEX(Dashboard!$C$2:$AF$31,MATCH(LARGE(Dashboard!$AI$2:$AI$31,$A2),Dashboard!$AI$2:$AI$31,0),COLUMNS($D2:J2)))&amp;"/"&amp;INDEX(Management!$B$7:$B$36,COLUMNS($D2:J2)))</f>
        <v>1/10</v>
      </c>
      <c r="K2" s="66" t="str" cm="1">
        <f t="array" ref="K2">IF(OR($A2="",COLUMNS($D2:K2)&gt;Management!$C$4),"",N(INDEX(Dashboard!$C$2:$AF$31,MATCH(LARGE(Dashboard!$AI$2:$AI$31,$A2),Dashboard!$AI$2:$AI$31,0),COLUMNS($D2:K2)))&amp;"/"&amp;INDEX(Management!$B$7:$B$36,COLUMNS($D2:K2)))</f>
        <v>14/15</v>
      </c>
      <c r="L2" s="66" t="str" cm="1">
        <f t="array" ref="L2">IF(OR($A2="",COLUMNS($D2:L2)&gt;Management!$C$4),"",N(INDEX(Dashboard!$C$2:$AF$31,MATCH(LARGE(Dashboard!$AI$2:$AI$31,$A2),Dashboard!$AI$2:$AI$31,0),COLUMNS($D2:L2)))&amp;"/"&amp;INDEX(Management!$B$7:$B$36,COLUMNS($D2:L2)))</f>
        <v>8/10</v>
      </c>
      <c r="M2" s="66" t="str" cm="1">
        <f t="array" ref="M2">IF(OR($A2="",COLUMNS($D2:M2)&gt;Management!$C$4),"",N(INDEX(Dashboard!$C$2:$AF$31,MATCH(LARGE(Dashboard!$AI$2:$AI$31,$A2),Dashboard!$AI$2:$AI$31,0),COLUMNS($D2:M2)))&amp;"/"&amp;INDEX(Management!$B$7:$B$36,COLUMNS($D2:M2)))</f>
        <v>4/10</v>
      </c>
      <c r="N2" s="66" t="str" cm="1">
        <f t="array" ref="N2">IF(OR($A2="",COLUMNS($D2:N2)&gt;Management!$C$4),"",N(INDEX(Dashboard!$C$2:$AF$31,MATCH(LARGE(Dashboard!$AI$2:$AI$31,$A2),Dashboard!$AI$2:$AI$31,0),COLUMNS($D2:N2)))&amp;"/"&amp;INDEX(Management!$B$7:$B$36,COLUMNS($D2:N2)))</f>
        <v>2/5</v>
      </c>
      <c r="O2" s="66" t="str" cm="1">
        <f t="array" ref="O2">IF(OR($A2="",COLUMNS($D2:O2)&gt;Management!$C$4),"",N(INDEX(Dashboard!$C$2:$AF$31,MATCH(LARGE(Dashboard!$AI$2:$AI$31,$A2),Dashboard!$AI$2:$AI$31,0),COLUMNS($D2:O2)))&amp;"/"&amp;INDEX(Management!$B$7:$B$36,COLUMNS($D2:O2)))</f>
        <v>4/10</v>
      </c>
      <c r="P2" s="66" t="str" cm="1">
        <f t="array" ref="P2">IF(OR($A2="",COLUMNS($D2:P2)&gt;Management!$C$4),"",N(INDEX(Dashboard!$C$2:$AF$31,MATCH(LARGE(Dashboard!$AI$2:$AI$31,$A2),Dashboard!$AI$2:$AI$31,0),COLUMNS($D2:P2)))&amp;"/"&amp;INDEX(Management!$B$7:$B$36,COLUMNS($D2:P2)))</f>
        <v>10/10</v>
      </c>
      <c r="Q2" s="66" t="str" cm="1">
        <f t="array" ref="Q2">IF(OR($A2="",COLUMNS($D2:Q2)&gt;Management!$C$4),"",N(INDEX(Dashboard!$C$2:$AF$31,MATCH(LARGE(Dashboard!$AI$2:$AI$31,$A2),Dashboard!$AI$2:$AI$31,0),COLUMNS($D2:Q2)))&amp;"/"&amp;INDEX(Management!$B$7:$B$36,COLUMNS($D2:Q2)))</f>
        <v/>
      </c>
      <c r="R2" s="66" t="str" cm="1">
        <f t="array" ref="R2">IF(OR($A2="",COLUMNS($D2:R2)&gt;Management!$C$4),"",N(INDEX(Dashboard!$C$2:$AF$31,MATCH(LARGE(Dashboard!$AI$2:$AI$31,$A2),Dashboard!$AI$2:$AI$31,0),COLUMNS($D2:R2)))&amp;"/"&amp;INDEX(Management!$B$7:$B$36,COLUMNS($D2:R2)))</f>
        <v/>
      </c>
      <c r="S2" s="66" t="str" cm="1">
        <f t="array" ref="S2">IF(OR($A2="",COLUMNS($D2:S2)&gt;Management!$C$4),"",N(INDEX(Dashboard!$C$2:$AF$31,MATCH(LARGE(Dashboard!$AI$2:$AI$31,$A2),Dashboard!$AI$2:$AI$31,0),COLUMNS($D2:S2)))&amp;"/"&amp;INDEX(Management!$B$7:$B$36,COLUMNS($D2:S2)))</f>
        <v/>
      </c>
      <c r="T2" s="66" t="str" cm="1">
        <f t="array" ref="T2">IF(OR($A2="",COLUMNS($D2:T2)&gt;Management!$C$4),"",N(INDEX(Dashboard!$C$2:$AF$31,MATCH(LARGE(Dashboard!$AI$2:$AI$31,$A2),Dashboard!$AI$2:$AI$31,0),COLUMNS($D2:T2)))&amp;"/"&amp;INDEX(Management!$B$7:$B$36,COLUMNS($D2:T2)))</f>
        <v/>
      </c>
      <c r="U2" s="66" t="str" cm="1">
        <f t="array" ref="U2">IF(OR($A2="",COLUMNS($D2:U2)&gt;Management!$C$4),"",N(INDEX(Dashboard!$C$2:$AF$31,MATCH(LARGE(Dashboard!$AI$2:$AI$31,$A2),Dashboard!$AI$2:$AI$31,0),COLUMNS($D2:U2)))&amp;"/"&amp;INDEX(Management!$B$7:$B$36,COLUMNS($D2:U2)))</f>
        <v/>
      </c>
      <c r="V2" s="66" t="str" cm="1">
        <f t="array" ref="V2">IF(OR($A2="",COLUMNS($D2:V2)&gt;Management!$C$4),"",N(INDEX(Dashboard!$C$2:$AF$31,MATCH(LARGE(Dashboard!$AI$2:$AI$31,$A2),Dashboard!$AI$2:$AI$31,0),COLUMNS($D2:V2)))&amp;"/"&amp;INDEX(Management!$B$7:$B$36,COLUMNS($D2:V2)))</f>
        <v/>
      </c>
      <c r="W2" s="66" t="str" cm="1">
        <f t="array" ref="W2">IF(OR($A2="",COLUMNS($D2:W2)&gt;Management!$C$4),"",N(INDEX(Dashboard!$C$2:$AF$31,MATCH(LARGE(Dashboard!$AI$2:$AI$31,$A2),Dashboard!$AI$2:$AI$31,0),COLUMNS($D2:W2)))&amp;"/"&amp;INDEX(Management!$B$7:$B$36,COLUMNS($D2:W2)))</f>
        <v/>
      </c>
      <c r="X2" s="66" t="str" cm="1">
        <f t="array" ref="X2">IF(OR($A2="",COLUMNS($D2:X2)&gt;Management!$C$4),"",N(INDEX(Dashboard!$C$2:$AF$31,MATCH(LARGE(Dashboard!$AI$2:$AI$31,$A2),Dashboard!$AI$2:$AI$31,0),COLUMNS($D2:X2)))&amp;"/"&amp;INDEX(Management!$B$7:$B$36,COLUMNS($D2:X2)))</f>
        <v/>
      </c>
      <c r="Y2" s="66" t="str" cm="1">
        <f t="array" ref="Y2">IF(OR($A2="",COLUMNS($D2:Y2)&gt;Management!$C$4),"",N(INDEX(Dashboard!$C$2:$AF$31,MATCH(LARGE(Dashboard!$AI$2:$AI$31,$A2),Dashboard!$AI$2:$AI$31,0),COLUMNS($D2:Y2)))&amp;"/"&amp;INDEX(Management!$B$7:$B$36,COLUMNS($D2:Y2)))</f>
        <v/>
      </c>
      <c r="Z2" s="66" t="str" cm="1">
        <f t="array" ref="Z2">IF(OR($A2="",COLUMNS($D2:Z2)&gt;Management!$C$4),"",N(INDEX(Dashboard!$C$2:$AF$31,MATCH(LARGE(Dashboard!$AI$2:$AI$31,$A2),Dashboard!$AI$2:$AI$31,0),COLUMNS($D2:Z2)))&amp;"/"&amp;INDEX(Management!$B$7:$B$36,COLUMNS($D2:Z2)))</f>
        <v/>
      </c>
      <c r="AA2" s="66" t="str" cm="1">
        <f t="array" ref="AA2">IF(OR($A2="",COLUMNS($D2:AA2)&gt;Management!$C$4),"",N(INDEX(Dashboard!$C$2:$AF$31,MATCH(LARGE(Dashboard!$AI$2:$AI$31,$A2),Dashboard!$AI$2:$AI$31,0),COLUMNS($D2:AA2)))&amp;"/"&amp;INDEX(Management!$B$7:$B$36,COLUMNS($D2:AA2)))</f>
        <v/>
      </c>
      <c r="AB2" s="66" t="str" cm="1">
        <f t="array" ref="AB2">IF(OR($A2="",COLUMNS($D2:AB2)&gt;Management!$C$4),"",N(INDEX(Dashboard!$C$2:$AF$31,MATCH(LARGE(Dashboard!$AI$2:$AI$31,$A2),Dashboard!$AI$2:$AI$31,0),COLUMNS($D2:AB2)))&amp;"/"&amp;INDEX(Management!$B$7:$B$36,COLUMNS($D2:AB2)))</f>
        <v/>
      </c>
      <c r="AC2" s="66" t="str" cm="1">
        <f t="array" ref="AC2">IF(OR($A2="",COLUMNS($D2:AC2)&gt;Management!$C$4),"",N(INDEX(Dashboard!$C$2:$AF$31,MATCH(LARGE(Dashboard!$AI$2:$AI$31,$A2),Dashboard!$AI$2:$AI$31,0),COLUMNS($D2:AC2)))&amp;"/"&amp;INDEX(Management!$B$7:$B$36,COLUMNS($D2:AC2)))</f>
        <v/>
      </c>
      <c r="AD2" s="66" t="str" cm="1">
        <f t="array" ref="AD2">IF(OR($A2="",COLUMNS($D2:AD2)&gt;Management!$C$4),"",N(INDEX(Dashboard!$C$2:$AF$31,MATCH(LARGE(Dashboard!$AI$2:$AI$31,$A2),Dashboard!$AI$2:$AI$31,0),COLUMNS($D2:AD2)))&amp;"/"&amp;INDEX(Management!$B$7:$B$36,COLUMNS($D2:AD2)))</f>
        <v/>
      </c>
      <c r="AE2" s="66" t="str" cm="1">
        <f t="array" ref="AE2">IF(OR($A2="",COLUMNS($D2:AE2)&gt;Management!$C$4),"",N(INDEX(Dashboard!$C$2:$AF$31,MATCH(LARGE(Dashboard!$AI$2:$AI$31,$A2),Dashboard!$AI$2:$AI$31,0),COLUMNS($D2:AE2)))&amp;"/"&amp;INDEX(Management!$B$7:$B$36,COLUMNS($D2:AE2)))</f>
        <v/>
      </c>
      <c r="AF2" s="66" t="str" cm="1">
        <f t="array" ref="AF2">IF(OR($A2="",COLUMNS($D2:AF2)&gt;Management!$C$4),"",N(INDEX(Dashboard!$C$2:$AF$31,MATCH(LARGE(Dashboard!$AI$2:$AI$31,$A2),Dashboard!$AI$2:$AI$31,0),COLUMNS($D2:AF2)))&amp;"/"&amp;INDEX(Management!$B$7:$B$36,COLUMNS($D2:AF2)))</f>
        <v/>
      </c>
      <c r="AG2" s="67" t="str" cm="1">
        <f t="array" ref="AG2">IF(OR($A2="",COLUMNS($D2:AG2)&gt;Management!$C$4),"",N(INDEX(Dashboard!$C$2:$AF$31,MATCH(LARGE(Dashboard!$AI$2:$AI$31,$A2),Dashboard!$AI$2:$AI$31,0),COLUMNS($D2:AG2)))&amp;"/"&amp;INDEX(Management!$B$7:$B$36,COLUMNS($D2:AG2)))</f>
        <v/>
      </c>
    </row>
    <row r="3" spans="1:33" ht="36" customHeight="1" thickBot="1" x14ac:dyDescent="0.5">
      <c r="A3" s="69">
        <f>IF(ROWS($A$2:A3)&gt;COUNTA(Management!$F$7:$F$36),"",ROWS($A$2:A3))</f>
        <v>2</v>
      </c>
      <c r="B3" s="92" t="str">
        <f>IF($A3="","",INDEX(Dashboard!$A$2:$A$31,MATCH(LARGE(Dashboard!$AI$2:$AI$31,$A3),Dashboard!$AI$2:$AI$31,0)))</f>
        <v>Tulpen uit Toeterdam</v>
      </c>
      <c r="C3" s="107" t="str">
        <f>IF($A3="","",INDEX(Dashboard!$AG$2:$AG$31,MATCH(LARGE(Dashboard!$AI$2:$AI$31,$A3),Dashboard!$AI$2:$AI$31,0))&amp;" / "&amp;INDEX(Dashboard!$AH$2:$AH$31,MATCH(LARGE(Dashboard!$AI$2:$AI$31,$A3),Dashboard!$AI$2:$AI$31,0)))</f>
        <v>82 / 140</v>
      </c>
      <c r="D3" s="99" t="str" cm="1">
        <f t="array" ref="D3">IF(OR($A3="",COLUMNS($D3:D3)&gt;Management!$C$4),"",N(INDEX(Dashboard!$C$2:$AF$31,MATCH(LARGE(Dashboard!$AI$2:$AI$31,$A3),Dashboard!$AI$2:$AI$31,0),COLUMNS($D3:D3)))&amp;"/"&amp;INDEX(Management!$B$7:$B$36,COLUMNS($D3:D3)))</f>
        <v>6/10</v>
      </c>
      <c r="E3" s="70" t="str" cm="1">
        <f t="array" ref="E3">IF(OR($A3="",COLUMNS($D3:E3)&gt;Management!$C$4),"",N(INDEX(Dashboard!$C$2:$AF$31,MATCH(LARGE(Dashboard!$AI$2:$AI$31,$A3),Dashboard!$AI$2:$AI$31,0),COLUMNS($D3:E3)))&amp;"/"&amp;INDEX(Management!$B$7:$B$36,COLUMNS($D3:E3)))</f>
        <v>10/10</v>
      </c>
      <c r="F3" s="70" t="str" cm="1">
        <f t="array" ref="F3">IF(OR($A3="",COLUMNS($D3:F3)&gt;Management!$C$4),"",N(INDEX(Dashboard!$C$2:$AF$31,MATCH(LARGE(Dashboard!$AI$2:$AI$31,$A3),Dashboard!$AI$2:$AI$31,0),COLUMNS($D3:F3)))&amp;"/"&amp;INDEX(Management!$B$7:$B$36,COLUMNS($D3:F3)))</f>
        <v>9/10</v>
      </c>
      <c r="G3" s="70" t="str" cm="1">
        <f t="array" ref="G3">IF(OR($A3="",COLUMNS($D3:G3)&gt;Management!$C$4),"",N(INDEX(Dashboard!$C$2:$AF$31,MATCH(LARGE(Dashboard!$AI$2:$AI$31,$A3),Dashboard!$AI$2:$AI$31,0),COLUMNS($D3:G3)))&amp;"/"&amp;INDEX(Management!$B$7:$B$36,COLUMNS($D3:G3)))</f>
        <v>10/20</v>
      </c>
      <c r="H3" s="70" t="str" cm="1">
        <f t="array" ref="H3">IF(OR($A3="",COLUMNS($D3:H3)&gt;Management!$C$4),"",N(INDEX(Dashboard!$C$2:$AF$31,MATCH(LARGE(Dashboard!$AI$2:$AI$31,$A3),Dashboard!$AI$2:$AI$31,0),COLUMNS($D3:H3)))&amp;"/"&amp;INDEX(Management!$B$7:$B$36,COLUMNS($D3:H3)))</f>
        <v>9/10</v>
      </c>
      <c r="I3" s="70" t="str" cm="1">
        <f t="array" ref="I3">IF(OR($A3="",COLUMNS($D3:I3)&gt;Management!$C$4),"",N(INDEX(Dashboard!$C$2:$AF$31,MATCH(LARGE(Dashboard!$AI$2:$AI$31,$A3),Dashboard!$AI$2:$AI$31,0),COLUMNS($D3:I3)))&amp;"/"&amp;INDEX(Management!$B$7:$B$36,COLUMNS($D3:I3)))</f>
        <v>4/10</v>
      </c>
      <c r="J3" s="70" t="str" cm="1">
        <f t="array" ref="J3">IF(OR($A3="",COLUMNS($D3:J3)&gt;Management!$C$4),"",N(INDEX(Dashboard!$C$2:$AF$31,MATCH(LARGE(Dashboard!$AI$2:$AI$31,$A3),Dashboard!$AI$2:$AI$31,0),COLUMNS($D3:J3)))&amp;"/"&amp;INDEX(Management!$B$7:$B$36,COLUMNS($D3:J3)))</f>
        <v>10/10</v>
      </c>
      <c r="K3" s="70" t="str" cm="1">
        <f t="array" ref="K3">IF(OR($A3="",COLUMNS($D3:K3)&gt;Management!$C$4),"",N(INDEX(Dashboard!$C$2:$AF$31,MATCH(LARGE(Dashboard!$AI$2:$AI$31,$A3),Dashboard!$AI$2:$AI$31,0),COLUMNS($D3:K3)))&amp;"/"&amp;INDEX(Management!$B$7:$B$36,COLUMNS($D3:K3)))</f>
        <v>9/15</v>
      </c>
      <c r="L3" s="70" t="str" cm="1">
        <f t="array" ref="L3">IF(OR($A3="",COLUMNS($D3:L3)&gt;Management!$C$4),"",N(INDEX(Dashboard!$C$2:$AF$31,MATCH(LARGE(Dashboard!$AI$2:$AI$31,$A3),Dashboard!$AI$2:$AI$31,0),COLUMNS($D3:L3)))&amp;"/"&amp;INDEX(Management!$B$7:$B$36,COLUMNS($D3:L3)))</f>
        <v>4/10</v>
      </c>
      <c r="M3" s="70" t="str" cm="1">
        <f t="array" ref="M3">IF(OR($A3="",COLUMNS($D3:M3)&gt;Management!$C$4),"",N(INDEX(Dashboard!$C$2:$AF$31,MATCH(LARGE(Dashboard!$AI$2:$AI$31,$A3),Dashboard!$AI$2:$AI$31,0),COLUMNS($D3:M3)))&amp;"/"&amp;INDEX(Management!$B$7:$B$36,COLUMNS($D3:M3)))</f>
        <v>3/10</v>
      </c>
      <c r="N3" s="70" t="str" cm="1">
        <f t="array" ref="N3">IF(OR($A3="",COLUMNS($D3:N3)&gt;Management!$C$4),"",N(INDEX(Dashboard!$C$2:$AF$31,MATCH(LARGE(Dashboard!$AI$2:$AI$31,$A3),Dashboard!$AI$2:$AI$31,0),COLUMNS($D3:N3)))&amp;"/"&amp;INDEX(Management!$B$7:$B$36,COLUMNS($D3:N3)))</f>
        <v>0/5</v>
      </c>
      <c r="O3" s="70" t="str" cm="1">
        <f t="array" ref="O3">IF(OR($A3="",COLUMNS($D3:O3)&gt;Management!$C$4),"",N(INDEX(Dashboard!$C$2:$AF$31,MATCH(LARGE(Dashboard!$AI$2:$AI$31,$A3),Dashboard!$AI$2:$AI$31,0),COLUMNS($D3:O3)))&amp;"/"&amp;INDEX(Management!$B$7:$B$36,COLUMNS($D3:O3)))</f>
        <v>4/10</v>
      </c>
      <c r="P3" s="70" t="str" cm="1">
        <f t="array" ref="P3">IF(OR($A3="",COLUMNS($D3:P3)&gt;Management!$C$4),"",N(INDEX(Dashboard!$C$2:$AF$31,MATCH(LARGE(Dashboard!$AI$2:$AI$31,$A3),Dashboard!$AI$2:$AI$31,0),COLUMNS($D3:P3)))&amp;"/"&amp;INDEX(Management!$B$7:$B$36,COLUMNS($D3:P3)))</f>
        <v>4/10</v>
      </c>
      <c r="Q3" s="70" t="str" cm="1">
        <f t="array" ref="Q3">IF(OR($A3="",COLUMNS($D3:Q3)&gt;Management!$C$4),"",N(INDEX(Dashboard!$C$2:$AF$31,MATCH(LARGE(Dashboard!$AI$2:$AI$31,$A3),Dashboard!$AI$2:$AI$31,0),COLUMNS($D3:Q3)))&amp;"/"&amp;INDEX(Management!$B$7:$B$36,COLUMNS($D3:Q3)))</f>
        <v/>
      </c>
      <c r="R3" s="70" t="str" cm="1">
        <f t="array" ref="R3">IF(OR($A3="",COLUMNS($D3:R3)&gt;Management!$C$4),"",N(INDEX(Dashboard!$C$2:$AF$31,MATCH(LARGE(Dashboard!$AI$2:$AI$31,$A3),Dashboard!$AI$2:$AI$31,0),COLUMNS($D3:R3)))&amp;"/"&amp;INDEX(Management!$B$7:$B$36,COLUMNS($D3:R3)))</f>
        <v/>
      </c>
      <c r="S3" s="70" t="str" cm="1">
        <f t="array" ref="S3">IF(OR($A3="",COLUMNS($D3:S3)&gt;Management!$C$4),"",N(INDEX(Dashboard!$C$2:$AF$31,MATCH(LARGE(Dashboard!$AI$2:$AI$31,$A3),Dashboard!$AI$2:$AI$31,0),COLUMNS($D3:S3)))&amp;"/"&amp;INDEX(Management!$B$7:$B$36,COLUMNS($D3:S3)))</f>
        <v/>
      </c>
      <c r="T3" s="70" t="str" cm="1">
        <f t="array" ref="T3">IF(OR($A3="",COLUMNS($D3:T3)&gt;Management!$C$4),"",N(INDEX(Dashboard!$C$2:$AF$31,MATCH(LARGE(Dashboard!$AI$2:$AI$31,$A3),Dashboard!$AI$2:$AI$31,0),COLUMNS($D3:T3)))&amp;"/"&amp;INDEX(Management!$B$7:$B$36,COLUMNS($D3:T3)))</f>
        <v/>
      </c>
      <c r="U3" s="70" t="str" cm="1">
        <f t="array" ref="U3">IF(OR($A3="",COLUMNS($D3:U3)&gt;Management!$C$4),"",N(INDEX(Dashboard!$C$2:$AF$31,MATCH(LARGE(Dashboard!$AI$2:$AI$31,$A3),Dashboard!$AI$2:$AI$31,0),COLUMNS($D3:U3)))&amp;"/"&amp;INDEX(Management!$B$7:$B$36,COLUMNS($D3:U3)))</f>
        <v/>
      </c>
      <c r="V3" s="70" t="str" cm="1">
        <f t="array" ref="V3">IF(OR($A3="",COLUMNS($D3:V3)&gt;Management!$C$4),"",N(INDEX(Dashboard!$C$2:$AF$31,MATCH(LARGE(Dashboard!$AI$2:$AI$31,$A3),Dashboard!$AI$2:$AI$31,0),COLUMNS($D3:V3)))&amp;"/"&amp;INDEX(Management!$B$7:$B$36,COLUMNS($D3:V3)))</f>
        <v/>
      </c>
      <c r="W3" s="70" t="str" cm="1">
        <f t="array" ref="W3">IF(OR($A3="",COLUMNS($D3:W3)&gt;Management!$C$4),"",N(INDEX(Dashboard!$C$2:$AF$31,MATCH(LARGE(Dashboard!$AI$2:$AI$31,$A3),Dashboard!$AI$2:$AI$31,0),COLUMNS($D3:W3)))&amp;"/"&amp;INDEX(Management!$B$7:$B$36,COLUMNS($D3:W3)))</f>
        <v/>
      </c>
      <c r="X3" s="70" t="str" cm="1">
        <f t="array" ref="X3">IF(OR($A3="",COLUMNS($D3:X3)&gt;Management!$C$4),"",N(INDEX(Dashboard!$C$2:$AF$31,MATCH(LARGE(Dashboard!$AI$2:$AI$31,$A3),Dashboard!$AI$2:$AI$31,0),COLUMNS($D3:X3)))&amp;"/"&amp;INDEX(Management!$B$7:$B$36,COLUMNS($D3:X3)))</f>
        <v/>
      </c>
      <c r="Y3" s="70" t="str" cm="1">
        <f t="array" ref="Y3">IF(OR($A3="",COLUMNS($D3:Y3)&gt;Management!$C$4),"",N(INDEX(Dashboard!$C$2:$AF$31,MATCH(LARGE(Dashboard!$AI$2:$AI$31,$A3),Dashboard!$AI$2:$AI$31,0),COLUMNS($D3:Y3)))&amp;"/"&amp;INDEX(Management!$B$7:$B$36,COLUMNS($D3:Y3)))</f>
        <v/>
      </c>
      <c r="Z3" s="70" t="str" cm="1">
        <f t="array" ref="Z3">IF(OR($A3="",COLUMNS($D3:Z3)&gt;Management!$C$4),"",N(INDEX(Dashboard!$C$2:$AF$31,MATCH(LARGE(Dashboard!$AI$2:$AI$31,$A3),Dashboard!$AI$2:$AI$31,0),COLUMNS($D3:Z3)))&amp;"/"&amp;INDEX(Management!$B$7:$B$36,COLUMNS($D3:Z3)))</f>
        <v/>
      </c>
      <c r="AA3" s="70" t="str" cm="1">
        <f t="array" ref="AA3">IF(OR($A3="",COLUMNS($D3:AA3)&gt;Management!$C$4),"",N(INDEX(Dashboard!$C$2:$AF$31,MATCH(LARGE(Dashboard!$AI$2:$AI$31,$A3),Dashboard!$AI$2:$AI$31,0),COLUMNS($D3:AA3)))&amp;"/"&amp;INDEX(Management!$B$7:$B$36,COLUMNS($D3:AA3)))</f>
        <v/>
      </c>
      <c r="AB3" s="70" t="str" cm="1">
        <f t="array" ref="AB3">IF(OR($A3="",COLUMNS($D3:AB3)&gt;Management!$C$4),"",N(INDEX(Dashboard!$C$2:$AF$31,MATCH(LARGE(Dashboard!$AI$2:$AI$31,$A3),Dashboard!$AI$2:$AI$31,0),COLUMNS($D3:AB3)))&amp;"/"&amp;INDEX(Management!$B$7:$B$36,COLUMNS($D3:AB3)))</f>
        <v/>
      </c>
      <c r="AC3" s="70" t="str" cm="1">
        <f t="array" ref="AC3">IF(OR($A3="",COLUMNS($D3:AC3)&gt;Management!$C$4),"",N(INDEX(Dashboard!$C$2:$AF$31,MATCH(LARGE(Dashboard!$AI$2:$AI$31,$A3),Dashboard!$AI$2:$AI$31,0),COLUMNS($D3:AC3)))&amp;"/"&amp;INDEX(Management!$B$7:$B$36,COLUMNS($D3:AC3)))</f>
        <v/>
      </c>
      <c r="AD3" s="70" t="str" cm="1">
        <f t="array" ref="AD3">IF(OR($A3="",COLUMNS($D3:AD3)&gt;Management!$C$4),"",N(INDEX(Dashboard!$C$2:$AF$31,MATCH(LARGE(Dashboard!$AI$2:$AI$31,$A3),Dashboard!$AI$2:$AI$31,0),COLUMNS($D3:AD3)))&amp;"/"&amp;INDEX(Management!$B$7:$B$36,COLUMNS($D3:AD3)))</f>
        <v/>
      </c>
      <c r="AE3" s="70" t="str" cm="1">
        <f t="array" ref="AE3">IF(OR($A3="",COLUMNS($D3:AE3)&gt;Management!$C$4),"",N(INDEX(Dashboard!$C$2:$AF$31,MATCH(LARGE(Dashboard!$AI$2:$AI$31,$A3),Dashboard!$AI$2:$AI$31,0),COLUMNS($D3:AE3)))&amp;"/"&amp;INDEX(Management!$B$7:$B$36,COLUMNS($D3:AE3)))</f>
        <v/>
      </c>
      <c r="AF3" s="70" t="str" cm="1">
        <f t="array" ref="AF3">IF(OR($A3="",COLUMNS($D3:AF3)&gt;Management!$C$4),"",N(INDEX(Dashboard!$C$2:$AF$31,MATCH(LARGE(Dashboard!$AI$2:$AI$31,$A3),Dashboard!$AI$2:$AI$31,0),COLUMNS($D3:AF3)))&amp;"/"&amp;INDEX(Management!$B$7:$B$36,COLUMNS($D3:AF3)))</f>
        <v/>
      </c>
      <c r="AG3" s="71" t="str" cm="1">
        <f t="array" ref="AG3">IF(OR($A3="",COLUMNS($D3:AG3)&gt;Management!$C$4),"",N(INDEX(Dashboard!$C$2:$AF$31,MATCH(LARGE(Dashboard!$AI$2:$AI$31,$A3),Dashboard!$AI$2:$AI$31,0),COLUMNS($D3:AG3)))&amp;"/"&amp;INDEX(Management!$B$7:$B$36,COLUMNS($D3:AG3)))</f>
        <v/>
      </c>
    </row>
    <row r="4" spans="1:33" ht="34.049999999999997" customHeight="1" thickBot="1" x14ac:dyDescent="0.5">
      <c r="A4" s="72">
        <f>IF(ROWS($A$2:A4)&gt;COUNTA(Management!$F$7:$F$36),"",ROWS($A$2:A4))</f>
        <v>3</v>
      </c>
      <c r="B4" s="93" t="str">
        <f>IF($A4="","",INDEX(Dashboard!$A$2:$A$31,MATCH(LARGE(Dashboard!$AI$2:$AI$31,$A4),Dashboard!$AI$2:$AI$31,0)))</f>
        <v>Bietsende Bitterballen</v>
      </c>
      <c r="C4" s="108" t="str">
        <f>IF($A4="","",INDEX(Dashboard!$AG$2:$AG$31,MATCH(LARGE(Dashboard!$AI$2:$AI$31,$A4),Dashboard!$AI$2:$AI$31,0))&amp;" / "&amp;INDEX(Dashboard!$AH$2:$AH$31,MATCH(LARGE(Dashboard!$AI$2:$AI$31,$A4),Dashboard!$AI$2:$AI$31,0)))</f>
        <v>82 / 140</v>
      </c>
      <c r="D4" s="100" t="str" cm="1">
        <f t="array" ref="D4">IF(OR($A4="",COLUMNS($D4:D4)&gt;Management!$C$4),"",N(INDEX(Dashboard!$C$2:$AF$31,MATCH(LARGE(Dashboard!$AI$2:$AI$31,$A4),Dashboard!$AI$2:$AI$31,0),COLUMNS($D4:D4)))&amp;"/"&amp;INDEX(Management!$B$7:$B$36,COLUMNS($D4:D4)))</f>
        <v>3/10</v>
      </c>
      <c r="E4" s="73" t="str" cm="1">
        <f t="array" ref="E4">IF(OR($A4="",COLUMNS($D4:E4)&gt;Management!$C$4),"",N(INDEX(Dashboard!$C$2:$AF$31,MATCH(LARGE(Dashboard!$AI$2:$AI$31,$A4),Dashboard!$AI$2:$AI$31,0),COLUMNS($D4:E4)))&amp;"/"&amp;INDEX(Management!$B$7:$B$36,COLUMNS($D4:E4)))</f>
        <v>4/10</v>
      </c>
      <c r="F4" s="73" t="str" cm="1">
        <f t="array" ref="F4">IF(OR($A4="",COLUMNS($D4:F4)&gt;Management!$C$4),"",N(INDEX(Dashboard!$C$2:$AF$31,MATCH(LARGE(Dashboard!$AI$2:$AI$31,$A4),Dashboard!$AI$2:$AI$31,0),COLUMNS($D4:F4)))&amp;"/"&amp;INDEX(Management!$B$7:$B$36,COLUMNS($D4:F4)))</f>
        <v>6/10</v>
      </c>
      <c r="G4" s="73" t="str" cm="1">
        <f t="array" ref="G4">IF(OR($A4="",COLUMNS($D4:G4)&gt;Management!$C$4),"",N(INDEX(Dashboard!$C$2:$AF$31,MATCH(LARGE(Dashboard!$AI$2:$AI$31,$A4),Dashboard!$AI$2:$AI$31,0),COLUMNS($D4:G4)))&amp;"/"&amp;INDEX(Management!$B$7:$B$36,COLUMNS($D4:G4)))</f>
        <v>1/20</v>
      </c>
      <c r="H4" s="73" t="str" cm="1">
        <f t="array" ref="H4">IF(OR($A4="",COLUMNS($D4:H4)&gt;Management!$C$4),"",N(INDEX(Dashboard!$C$2:$AF$31,MATCH(LARGE(Dashboard!$AI$2:$AI$31,$A4),Dashboard!$AI$2:$AI$31,0),COLUMNS($D4:H4)))&amp;"/"&amp;INDEX(Management!$B$7:$B$36,COLUMNS($D4:H4)))</f>
        <v>6/10</v>
      </c>
      <c r="I4" s="73" t="str" cm="1">
        <f t="array" ref="I4">IF(OR($A4="",COLUMNS($D4:I4)&gt;Management!$C$4),"",N(INDEX(Dashboard!$C$2:$AF$31,MATCH(LARGE(Dashboard!$AI$2:$AI$31,$A4),Dashboard!$AI$2:$AI$31,0),COLUMNS($D4:I4)))&amp;"/"&amp;INDEX(Management!$B$7:$B$36,COLUMNS($D4:I4)))</f>
        <v>8/10</v>
      </c>
      <c r="J4" s="73" t="str" cm="1">
        <f t="array" ref="J4">IF(OR($A4="",COLUMNS($D4:J4)&gt;Management!$C$4),"",N(INDEX(Dashboard!$C$2:$AF$31,MATCH(LARGE(Dashboard!$AI$2:$AI$31,$A4),Dashboard!$AI$2:$AI$31,0),COLUMNS($D4:J4)))&amp;"/"&amp;INDEX(Management!$B$7:$B$36,COLUMNS($D4:J4)))</f>
        <v>9/10</v>
      </c>
      <c r="K4" s="73" t="str" cm="1">
        <f t="array" ref="K4">IF(OR($A4="",COLUMNS($D4:K4)&gt;Management!$C$4),"",N(INDEX(Dashboard!$C$2:$AF$31,MATCH(LARGE(Dashboard!$AI$2:$AI$31,$A4),Dashboard!$AI$2:$AI$31,0),COLUMNS($D4:K4)))&amp;"/"&amp;INDEX(Management!$B$7:$B$36,COLUMNS($D4:K4)))</f>
        <v>5/15</v>
      </c>
      <c r="L4" s="73" t="str" cm="1">
        <f t="array" ref="L4">IF(OR($A4="",COLUMNS($D4:L4)&gt;Management!$C$4),"",N(INDEX(Dashboard!$C$2:$AF$31,MATCH(LARGE(Dashboard!$AI$2:$AI$31,$A4),Dashboard!$AI$2:$AI$31,0),COLUMNS($D4:L4)))&amp;"/"&amp;INDEX(Management!$B$7:$B$36,COLUMNS($D4:L4)))</f>
        <v>9/10</v>
      </c>
      <c r="M4" s="73" t="str" cm="1">
        <f t="array" ref="M4">IF(OR($A4="",COLUMNS($D4:M4)&gt;Management!$C$4),"",N(INDEX(Dashboard!$C$2:$AF$31,MATCH(LARGE(Dashboard!$AI$2:$AI$31,$A4),Dashboard!$AI$2:$AI$31,0),COLUMNS($D4:M4)))&amp;"/"&amp;INDEX(Management!$B$7:$B$36,COLUMNS($D4:M4)))</f>
        <v>9/10</v>
      </c>
      <c r="N4" s="73" t="str" cm="1">
        <f t="array" ref="N4">IF(OR($A4="",COLUMNS($D4:N4)&gt;Management!$C$4),"",N(INDEX(Dashboard!$C$2:$AF$31,MATCH(LARGE(Dashboard!$AI$2:$AI$31,$A4),Dashboard!$AI$2:$AI$31,0),COLUMNS($D4:N4)))&amp;"/"&amp;INDEX(Management!$B$7:$B$36,COLUMNS($D4:N4)))</f>
        <v>4/5</v>
      </c>
      <c r="O4" s="73" t="str" cm="1">
        <f t="array" ref="O4">IF(OR($A4="",COLUMNS($D4:O4)&gt;Management!$C$4),"",N(INDEX(Dashboard!$C$2:$AF$31,MATCH(LARGE(Dashboard!$AI$2:$AI$31,$A4),Dashboard!$AI$2:$AI$31,0),COLUMNS($D4:O4)))&amp;"/"&amp;INDEX(Management!$B$7:$B$36,COLUMNS($D4:O4)))</f>
        <v>9/10</v>
      </c>
      <c r="P4" s="73" t="str" cm="1">
        <f t="array" ref="P4">IF(OR($A4="",COLUMNS($D4:P4)&gt;Management!$C$4),"",N(INDEX(Dashboard!$C$2:$AF$31,MATCH(LARGE(Dashboard!$AI$2:$AI$31,$A4),Dashboard!$AI$2:$AI$31,0),COLUMNS($D4:P4)))&amp;"/"&amp;INDEX(Management!$B$7:$B$36,COLUMNS($D4:P4)))</f>
        <v>9/10</v>
      </c>
      <c r="Q4" s="73" t="str" cm="1">
        <f t="array" ref="Q4">IF(OR($A4="",COLUMNS($D4:Q4)&gt;Management!$C$4),"",N(INDEX(Dashboard!$C$2:$AF$31,MATCH(LARGE(Dashboard!$AI$2:$AI$31,$A4),Dashboard!$AI$2:$AI$31,0),COLUMNS($D4:Q4)))&amp;"/"&amp;INDEX(Management!$B$7:$B$36,COLUMNS($D4:Q4)))</f>
        <v/>
      </c>
      <c r="R4" s="73" t="str" cm="1">
        <f t="array" ref="R4">IF(OR($A4="",COLUMNS($D4:R4)&gt;Management!$C$4),"",N(INDEX(Dashboard!$C$2:$AF$31,MATCH(LARGE(Dashboard!$AI$2:$AI$31,$A4),Dashboard!$AI$2:$AI$31,0),COLUMNS($D4:R4)))&amp;"/"&amp;INDEX(Management!$B$7:$B$36,COLUMNS($D4:R4)))</f>
        <v/>
      </c>
      <c r="S4" s="73" t="str" cm="1">
        <f t="array" ref="S4">IF(OR($A4="",COLUMNS($D4:S4)&gt;Management!$C$4),"",N(INDEX(Dashboard!$C$2:$AF$31,MATCH(LARGE(Dashboard!$AI$2:$AI$31,$A4),Dashboard!$AI$2:$AI$31,0),COLUMNS($D4:S4)))&amp;"/"&amp;INDEX(Management!$B$7:$B$36,COLUMNS($D4:S4)))</f>
        <v/>
      </c>
      <c r="T4" s="73" t="str" cm="1">
        <f t="array" ref="T4">IF(OR($A4="",COLUMNS($D4:T4)&gt;Management!$C$4),"",N(INDEX(Dashboard!$C$2:$AF$31,MATCH(LARGE(Dashboard!$AI$2:$AI$31,$A4),Dashboard!$AI$2:$AI$31,0),COLUMNS($D4:T4)))&amp;"/"&amp;INDEX(Management!$B$7:$B$36,COLUMNS($D4:T4)))</f>
        <v/>
      </c>
      <c r="U4" s="73" t="str" cm="1">
        <f t="array" ref="U4">IF(OR($A4="",COLUMNS($D4:U4)&gt;Management!$C$4),"",N(INDEX(Dashboard!$C$2:$AF$31,MATCH(LARGE(Dashboard!$AI$2:$AI$31,$A4),Dashboard!$AI$2:$AI$31,0),COLUMNS($D4:U4)))&amp;"/"&amp;INDEX(Management!$B$7:$B$36,COLUMNS($D4:U4)))</f>
        <v/>
      </c>
      <c r="V4" s="73" t="str" cm="1">
        <f t="array" ref="V4">IF(OR($A4="",COLUMNS($D4:V4)&gt;Management!$C$4),"",N(INDEX(Dashboard!$C$2:$AF$31,MATCH(LARGE(Dashboard!$AI$2:$AI$31,$A4),Dashboard!$AI$2:$AI$31,0),COLUMNS($D4:V4)))&amp;"/"&amp;INDEX(Management!$B$7:$B$36,COLUMNS($D4:V4)))</f>
        <v/>
      </c>
      <c r="W4" s="73" t="str" cm="1">
        <f t="array" ref="W4">IF(OR($A4="",COLUMNS($D4:W4)&gt;Management!$C$4),"",N(INDEX(Dashboard!$C$2:$AF$31,MATCH(LARGE(Dashboard!$AI$2:$AI$31,$A4),Dashboard!$AI$2:$AI$31,0),COLUMNS($D4:W4)))&amp;"/"&amp;INDEX(Management!$B$7:$B$36,COLUMNS($D4:W4)))</f>
        <v/>
      </c>
      <c r="X4" s="73" t="str" cm="1">
        <f t="array" ref="X4">IF(OR($A4="",COLUMNS($D4:X4)&gt;Management!$C$4),"",N(INDEX(Dashboard!$C$2:$AF$31,MATCH(LARGE(Dashboard!$AI$2:$AI$31,$A4),Dashboard!$AI$2:$AI$31,0),COLUMNS($D4:X4)))&amp;"/"&amp;INDEX(Management!$B$7:$B$36,COLUMNS($D4:X4)))</f>
        <v/>
      </c>
      <c r="Y4" s="73" t="str" cm="1">
        <f t="array" ref="Y4">IF(OR($A4="",COLUMNS($D4:Y4)&gt;Management!$C$4),"",N(INDEX(Dashboard!$C$2:$AF$31,MATCH(LARGE(Dashboard!$AI$2:$AI$31,$A4),Dashboard!$AI$2:$AI$31,0),COLUMNS($D4:Y4)))&amp;"/"&amp;INDEX(Management!$B$7:$B$36,COLUMNS($D4:Y4)))</f>
        <v/>
      </c>
      <c r="Z4" s="73" t="str" cm="1">
        <f t="array" ref="Z4">IF(OR($A4="",COLUMNS($D4:Z4)&gt;Management!$C$4),"",N(INDEX(Dashboard!$C$2:$AF$31,MATCH(LARGE(Dashboard!$AI$2:$AI$31,$A4),Dashboard!$AI$2:$AI$31,0),COLUMNS($D4:Z4)))&amp;"/"&amp;INDEX(Management!$B$7:$B$36,COLUMNS($D4:Z4)))</f>
        <v/>
      </c>
      <c r="AA4" s="73" t="str" cm="1">
        <f t="array" ref="AA4">IF(OR($A4="",COLUMNS($D4:AA4)&gt;Management!$C$4),"",N(INDEX(Dashboard!$C$2:$AF$31,MATCH(LARGE(Dashboard!$AI$2:$AI$31,$A4),Dashboard!$AI$2:$AI$31,0),COLUMNS($D4:AA4)))&amp;"/"&amp;INDEX(Management!$B$7:$B$36,COLUMNS($D4:AA4)))</f>
        <v/>
      </c>
      <c r="AB4" s="73" t="str" cm="1">
        <f t="array" ref="AB4">IF(OR($A4="",COLUMNS($D4:AB4)&gt;Management!$C$4),"",N(INDEX(Dashboard!$C$2:$AF$31,MATCH(LARGE(Dashboard!$AI$2:$AI$31,$A4),Dashboard!$AI$2:$AI$31,0),COLUMNS($D4:AB4)))&amp;"/"&amp;INDEX(Management!$B$7:$B$36,COLUMNS($D4:AB4)))</f>
        <v/>
      </c>
      <c r="AC4" s="73" t="str" cm="1">
        <f t="array" ref="AC4">IF(OR($A4="",COLUMNS($D4:AC4)&gt;Management!$C$4),"",N(INDEX(Dashboard!$C$2:$AF$31,MATCH(LARGE(Dashboard!$AI$2:$AI$31,$A4),Dashboard!$AI$2:$AI$31,0),COLUMNS($D4:AC4)))&amp;"/"&amp;INDEX(Management!$B$7:$B$36,COLUMNS($D4:AC4)))</f>
        <v/>
      </c>
      <c r="AD4" s="73" t="str" cm="1">
        <f t="array" ref="AD4">IF(OR($A4="",COLUMNS($D4:AD4)&gt;Management!$C$4),"",N(INDEX(Dashboard!$C$2:$AF$31,MATCH(LARGE(Dashboard!$AI$2:$AI$31,$A4),Dashboard!$AI$2:$AI$31,0),COLUMNS($D4:AD4)))&amp;"/"&amp;INDEX(Management!$B$7:$B$36,COLUMNS($D4:AD4)))</f>
        <v/>
      </c>
      <c r="AE4" s="73" t="str" cm="1">
        <f t="array" ref="AE4">IF(OR($A4="",COLUMNS($D4:AE4)&gt;Management!$C$4),"",N(INDEX(Dashboard!$C$2:$AF$31,MATCH(LARGE(Dashboard!$AI$2:$AI$31,$A4),Dashboard!$AI$2:$AI$31,0),COLUMNS($D4:AE4)))&amp;"/"&amp;INDEX(Management!$B$7:$B$36,COLUMNS($D4:AE4)))</f>
        <v/>
      </c>
      <c r="AF4" s="73" t="str" cm="1">
        <f t="array" ref="AF4">IF(OR($A4="",COLUMNS($D4:AF4)&gt;Management!$C$4),"",N(INDEX(Dashboard!$C$2:$AF$31,MATCH(LARGE(Dashboard!$AI$2:$AI$31,$A4),Dashboard!$AI$2:$AI$31,0),COLUMNS($D4:AF4)))&amp;"/"&amp;INDEX(Management!$B$7:$B$36,COLUMNS($D4:AF4)))</f>
        <v/>
      </c>
      <c r="AG4" s="74" t="str" cm="1">
        <f t="array" ref="AG4">IF(OR($A4="",COLUMNS($D4:AG4)&gt;Management!$C$4),"",N(INDEX(Dashboard!$C$2:$AF$31,MATCH(LARGE(Dashboard!$AI$2:$AI$31,$A4),Dashboard!$AI$2:$AI$31,0),COLUMNS($D4:AG4)))&amp;"/"&amp;INDEX(Management!$B$7:$B$36,COLUMNS($D4:AG4)))</f>
        <v/>
      </c>
    </row>
    <row r="5" spans="1:33" ht="24" customHeight="1" x14ac:dyDescent="0.45">
      <c r="A5" s="78">
        <f>IF(ROWS($A$2:A5)&gt;COUNTA(Management!$F$7:$F$36),"",ROWS($A$2:A5))</f>
        <v>4</v>
      </c>
      <c r="B5" s="94" t="str">
        <f>IF($A5="","",INDEX(Dashboard!$A$2:$A$31,MATCH(LARGE(Dashboard!$AI$2:$AI$31,$A5),Dashboard!$AI$2:$AI$31,0)))</f>
        <v>Team22</v>
      </c>
      <c r="C5" s="109" t="str">
        <f>IF($A5="","",INDEX(Dashboard!$AG$2:$AG$31,MATCH(LARGE(Dashboard!$AI$2:$AI$31,$A5),Dashboard!$AI$2:$AI$31,0))&amp;" / "&amp;INDEX(Dashboard!$AH$2:$AH$31,MATCH(LARGE(Dashboard!$AI$2:$AI$31,$A5),Dashboard!$AI$2:$AI$31,0)))</f>
        <v>82 / 140</v>
      </c>
      <c r="D5" s="101" t="str" cm="1">
        <f t="array" ref="D5">IF(OR($A5="",COLUMNS($D5:D5)&gt;Management!$C$4),"",N(INDEX(Dashboard!$C$2:$AF$31,MATCH(LARGE(Dashboard!$AI$2:$AI$31,$A5),Dashboard!$AI$2:$AI$31,0),COLUMNS($D5:D5)))&amp;"/"&amp;INDEX(Management!$B$7:$B$36,COLUMNS($D5:D5)))</f>
        <v>6/10</v>
      </c>
      <c r="E5" s="79" t="str" cm="1">
        <f t="array" ref="E5">IF(OR($A5="",COLUMNS($D5:E5)&gt;Management!$C$4),"",N(INDEX(Dashboard!$C$2:$AF$31,MATCH(LARGE(Dashboard!$AI$2:$AI$31,$A5),Dashboard!$AI$2:$AI$31,0),COLUMNS($D5:E5)))&amp;"/"&amp;INDEX(Management!$B$7:$B$36,COLUMNS($D5:E5)))</f>
        <v>10/10</v>
      </c>
      <c r="F5" s="79" t="str" cm="1">
        <f t="array" ref="F5">IF(OR($A5="",COLUMNS($D5:F5)&gt;Management!$C$4),"",N(INDEX(Dashboard!$C$2:$AF$31,MATCH(LARGE(Dashboard!$AI$2:$AI$31,$A5),Dashboard!$AI$2:$AI$31,0),COLUMNS($D5:F5)))&amp;"/"&amp;INDEX(Management!$B$7:$B$36,COLUMNS($D5:F5)))</f>
        <v>9/10</v>
      </c>
      <c r="G5" s="79" t="str" cm="1">
        <f t="array" ref="G5">IF(OR($A5="",COLUMNS($D5:G5)&gt;Management!$C$4),"",N(INDEX(Dashboard!$C$2:$AF$31,MATCH(LARGE(Dashboard!$AI$2:$AI$31,$A5),Dashboard!$AI$2:$AI$31,0),COLUMNS($D5:G5)))&amp;"/"&amp;INDEX(Management!$B$7:$B$36,COLUMNS($D5:G5)))</f>
        <v>10/20</v>
      </c>
      <c r="H5" s="79" t="str" cm="1">
        <f t="array" ref="H5">IF(OR($A5="",COLUMNS($D5:H5)&gt;Management!$C$4),"",N(INDEX(Dashboard!$C$2:$AF$31,MATCH(LARGE(Dashboard!$AI$2:$AI$31,$A5),Dashboard!$AI$2:$AI$31,0),COLUMNS($D5:H5)))&amp;"/"&amp;INDEX(Management!$B$7:$B$36,COLUMNS($D5:H5)))</f>
        <v>9/10</v>
      </c>
      <c r="I5" s="79" t="str" cm="1">
        <f t="array" ref="I5">IF(OR($A5="",COLUMNS($D5:I5)&gt;Management!$C$4),"",N(INDEX(Dashboard!$C$2:$AF$31,MATCH(LARGE(Dashboard!$AI$2:$AI$31,$A5),Dashboard!$AI$2:$AI$31,0),COLUMNS($D5:I5)))&amp;"/"&amp;INDEX(Management!$B$7:$B$36,COLUMNS($D5:I5)))</f>
        <v>4/10</v>
      </c>
      <c r="J5" s="79" t="str" cm="1">
        <f t="array" ref="J5">IF(OR($A5="",COLUMNS($D5:J5)&gt;Management!$C$4),"",N(INDEX(Dashboard!$C$2:$AF$31,MATCH(LARGE(Dashboard!$AI$2:$AI$31,$A5),Dashboard!$AI$2:$AI$31,0),COLUMNS($D5:J5)))&amp;"/"&amp;INDEX(Management!$B$7:$B$36,COLUMNS($D5:J5)))</f>
        <v>10/10</v>
      </c>
      <c r="K5" s="79" t="str" cm="1">
        <f t="array" ref="K5">IF(OR($A5="",COLUMNS($D5:K5)&gt;Management!$C$4),"",N(INDEX(Dashboard!$C$2:$AF$31,MATCH(LARGE(Dashboard!$AI$2:$AI$31,$A5),Dashboard!$AI$2:$AI$31,0),COLUMNS($D5:K5)))&amp;"/"&amp;INDEX(Management!$B$7:$B$36,COLUMNS($D5:K5)))</f>
        <v>9/15</v>
      </c>
      <c r="L5" s="79" t="str" cm="1">
        <f t="array" ref="L5">IF(OR($A5="",COLUMNS($D5:L5)&gt;Management!$C$4),"",N(INDEX(Dashboard!$C$2:$AF$31,MATCH(LARGE(Dashboard!$AI$2:$AI$31,$A5),Dashboard!$AI$2:$AI$31,0),COLUMNS($D5:L5)))&amp;"/"&amp;INDEX(Management!$B$7:$B$36,COLUMNS($D5:L5)))</f>
        <v>4/10</v>
      </c>
      <c r="M5" s="79" t="str" cm="1">
        <f t="array" ref="M5">IF(OR($A5="",COLUMNS($D5:M5)&gt;Management!$C$4),"",N(INDEX(Dashboard!$C$2:$AF$31,MATCH(LARGE(Dashboard!$AI$2:$AI$31,$A5),Dashboard!$AI$2:$AI$31,0),COLUMNS($D5:M5)))&amp;"/"&amp;INDEX(Management!$B$7:$B$36,COLUMNS($D5:M5)))</f>
        <v>3/10</v>
      </c>
      <c r="N5" s="79" t="str" cm="1">
        <f t="array" ref="N5">IF(OR($A5="",COLUMNS($D5:N5)&gt;Management!$C$4),"",N(INDEX(Dashboard!$C$2:$AF$31,MATCH(LARGE(Dashboard!$AI$2:$AI$31,$A5),Dashboard!$AI$2:$AI$31,0),COLUMNS($D5:N5)))&amp;"/"&amp;INDEX(Management!$B$7:$B$36,COLUMNS($D5:N5)))</f>
        <v>0/5</v>
      </c>
      <c r="O5" s="79" t="str" cm="1">
        <f t="array" ref="O5">IF(OR($A5="",COLUMNS($D5:O5)&gt;Management!$C$4),"",N(INDEX(Dashboard!$C$2:$AF$31,MATCH(LARGE(Dashboard!$AI$2:$AI$31,$A5),Dashboard!$AI$2:$AI$31,0),COLUMNS($D5:O5)))&amp;"/"&amp;INDEX(Management!$B$7:$B$36,COLUMNS($D5:O5)))</f>
        <v>4/10</v>
      </c>
      <c r="P5" s="79" t="str" cm="1">
        <f t="array" ref="P5">IF(OR($A5="",COLUMNS($D5:P5)&gt;Management!$C$4),"",N(INDEX(Dashboard!$C$2:$AF$31,MATCH(LARGE(Dashboard!$AI$2:$AI$31,$A5),Dashboard!$AI$2:$AI$31,0),COLUMNS($D5:P5)))&amp;"/"&amp;INDEX(Management!$B$7:$B$36,COLUMNS($D5:P5)))</f>
        <v>4/10</v>
      </c>
      <c r="Q5" s="79" t="str" cm="1">
        <f t="array" ref="Q5">IF(OR($A5="",COLUMNS($D5:Q5)&gt;Management!$C$4),"",N(INDEX(Dashboard!$C$2:$AF$31,MATCH(LARGE(Dashboard!$AI$2:$AI$31,$A5),Dashboard!$AI$2:$AI$31,0),COLUMNS($D5:Q5)))&amp;"/"&amp;INDEX(Management!$B$7:$B$36,COLUMNS($D5:Q5)))</f>
        <v/>
      </c>
      <c r="R5" s="79" t="str" cm="1">
        <f t="array" ref="R5">IF(OR($A5="",COLUMNS($D5:R5)&gt;Management!$C$4),"",N(INDEX(Dashboard!$C$2:$AF$31,MATCH(LARGE(Dashboard!$AI$2:$AI$31,$A5),Dashboard!$AI$2:$AI$31,0),COLUMNS($D5:R5)))&amp;"/"&amp;INDEX(Management!$B$7:$B$36,COLUMNS($D5:R5)))</f>
        <v/>
      </c>
      <c r="S5" s="79" t="str" cm="1">
        <f t="array" ref="S5">IF(OR($A5="",COLUMNS($D5:S5)&gt;Management!$C$4),"",N(INDEX(Dashboard!$C$2:$AF$31,MATCH(LARGE(Dashboard!$AI$2:$AI$31,$A5),Dashboard!$AI$2:$AI$31,0),COLUMNS($D5:S5)))&amp;"/"&amp;INDEX(Management!$B$7:$B$36,COLUMNS($D5:S5)))</f>
        <v/>
      </c>
      <c r="T5" s="79" t="str" cm="1">
        <f t="array" ref="T5">IF(OR($A5="",COLUMNS($D5:T5)&gt;Management!$C$4),"",N(INDEX(Dashboard!$C$2:$AF$31,MATCH(LARGE(Dashboard!$AI$2:$AI$31,$A5),Dashboard!$AI$2:$AI$31,0),COLUMNS($D5:T5)))&amp;"/"&amp;INDEX(Management!$B$7:$B$36,COLUMNS($D5:T5)))</f>
        <v/>
      </c>
      <c r="U5" s="79" t="str" cm="1">
        <f t="array" ref="U5">IF(OR($A5="",COLUMNS($D5:U5)&gt;Management!$C$4),"",N(INDEX(Dashboard!$C$2:$AF$31,MATCH(LARGE(Dashboard!$AI$2:$AI$31,$A5),Dashboard!$AI$2:$AI$31,0),COLUMNS($D5:U5)))&amp;"/"&amp;INDEX(Management!$B$7:$B$36,COLUMNS($D5:U5)))</f>
        <v/>
      </c>
      <c r="V5" s="79" t="str" cm="1">
        <f t="array" ref="V5">IF(OR($A5="",COLUMNS($D5:V5)&gt;Management!$C$4),"",N(INDEX(Dashboard!$C$2:$AF$31,MATCH(LARGE(Dashboard!$AI$2:$AI$31,$A5),Dashboard!$AI$2:$AI$31,0),COLUMNS($D5:V5)))&amp;"/"&amp;INDEX(Management!$B$7:$B$36,COLUMNS($D5:V5)))</f>
        <v/>
      </c>
      <c r="W5" s="79" t="str" cm="1">
        <f t="array" ref="W5">IF(OR($A5="",COLUMNS($D5:W5)&gt;Management!$C$4),"",N(INDEX(Dashboard!$C$2:$AF$31,MATCH(LARGE(Dashboard!$AI$2:$AI$31,$A5),Dashboard!$AI$2:$AI$31,0),COLUMNS($D5:W5)))&amp;"/"&amp;INDEX(Management!$B$7:$B$36,COLUMNS($D5:W5)))</f>
        <v/>
      </c>
      <c r="X5" s="79" t="str" cm="1">
        <f t="array" ref="X5">IF(OR($A5="",COLUMNS($D5:X5)&gt;Management!$C$4),"",N(INDEX(Dashboard!$C$2:$AF$31,MATCH(LARGE(Dashboard!$AI$2:$AI$31,$A5),Dashboard!$AI$2:$AI$31,0),COLUMNS($D5:X5)))&amp;"/"&amp;INDEX(Management!$B$7:$B$36,COLUMNS($D5:X5)))</f>
        <v/>
      </c>
      <c r="Y5" s="79" t="str" cm="1">
        <f t="array" ref="Y5">IF(OR($A5="",COLUMNS($D5:Y5)&gt;Management!$C$4),"",N(INDEX(Dashboard!$C$2:$AF$31,MATCH(LARGE(Dashboard!$AI$2:$AI$31,$A5),Dashboard!$AI$2:$AI$31,0),COLUMNS($D5:Y5)))&amp;"/"&amp;INDEX(Management!$B$7:$B$36,COLUMNS($D5:Y5)))</f>
        <v/>
      </c>
      <c r="Z5" s="79" t="str" cm="1">
        <f t="array" ref="Z5">IF(OR($A5="",COLUMNS($D5:Z5)&gt;Management!$C$4),"",N(INDEX(Dashboard!$C$2:$AF$31,MATCH(LARGE(Dashboard!$AI$2:$AI$31,$A5),Dashboard!$AI$2:$AI$31,0),COLUMNS($D5:Z5)))&amp;"/"&amp;INDEX(Management!$B$7:$B$36,COLUMNS($D5:Z5)))</f>
        <v/>
      </c>
      <c r="AA5" s="79" t="str" cm="1">
        <f t="array" ref="AA5">IF(OR($A5="",COLUMNS($D5:AA5)&gt;Management!$C$4),"",N(INDEX(Dashboard!$C$2:$AF$31,MATCH(LARGE(Dashboard!$AI$2:$AI$31,$A5),Dashboard!$AI$2:$AI$31,0),COLUMNS($D5:AA5)))&amp;"/"&amp;INDEX(Management!$B$7:$B$36,COLUMNS($D5:AA5)))</f>
        <v/>
      </c>
      <c r="AB5" s="79" t="str" cm="1">
        <f t="array" ref="AB5">IF(OR($A5="",COLUMNS($D5:AB5)&gt;Management!$C$4),"",N(INDEX(Dashboard!$C$2:$AF$31,MATCH(LARGE(Dashboard!$AI$2:$AI$31,$A5),Dashboard!$AI$2:$AI$31,0),COLUMNS($D5:AB5)))&amp;"/"&amp;INDEX(Management!$B$7:$B$36,COLUMNS($D5:AB5)))</f>
        <v/>
      </c>
      <c r="AC5" s="79" t="str" cm="1">
        <f t="array" ref="AC5">IF(OR($A5="",COLUMNS($D5:AC5)&gt;Management!$C$4),"",N(INDEX(Dashboard!$C$2:$AF$31,MATCH(LARGE(Dashboard!$AI$2:$AI$31,$A5),Dashboard!$AI$2:$AI$31,0),COLUMNS($D5:AC5)))&amp;"/"&amp;INDEX(Management!$B$7:$B$36,COLUMNS($D5:AC5)))</f>
        <v/>
      </c>
      <c r="AD5" s="79" t="str" cm="1">
        <f t="array" ref="AD5">IF(OR($A5="",COLUMNS($D5:AD5)&gt;Management!$C$4),"",N(INDEX(Dashboard!$C$2:$AF$31,MATCH(LARGE(Dashboard!$AI$2:$AI$31,$A5),Dashboard!$AI$2:$AI$31,0),COLUMNS($D5:AD5)))&amp;"/"&amp;INDEX(Management!$B$7:$B$36,COLUMNS($D5:AD5)))</f>
        <v/>
      </c>
      <c r="AE5" s="79" t="str" cm="1">
        <f t="array" ref="AE5">IF(OR($A5="",COLUMNS($D5:AE5)&gt;Management!$C$4),"",N(INDEX(Dashboard!$C$2:$AF$31,MATCH(LARGE(Dashboard!$AI$2:$AI$31,$A5),Dashboard!$AI$2:$AI$31,0),COLUMNS($D5:AE5)))&amp;"/"&amp;INDEX(Management!$B$7:$B$36,COLUMNS($D5:AE5)))</f>
        <v/>
      </c>
      <c r="AF5" s="79" t="str" cm="1">
        <f t="array" ref="AF5">IF(OR($A5="",COLUMNS($D5:AF5)&gt;Management!$C$4),"",N(INDEX(Dashboard!$C$2:$AF$31,MATCH(LARGE(Dashboard!$AI$2:$AI$31,$A5),Dashboard!$AI$2:$AI$31,0),COLUMNS($D5:AF5)))&amp;"/"&amp;INDEX(Management!$B$7:$B$36,COLUMNS($D5:AF5)))</f>
        <v/>
      </c>
      <c r="AG5" s="80" t="str" cm="1">
        <f t="array" ref="AG5">IF(OR($A5="",COLUMNS($D5:AG5)&gt;Management!$C$4),"",N(INDEX(Dashboard!$C$2:$AF$31,MATCH(LARGE(Dashboard!$AI$2:$AI$31,$A5),Dashboard!$AI$2:$AI$31,0),COLUMNS($D5:AG5)))&amp;"/"&amp;INDEX(Management!$B$7:$B$36,COLUMNS($D5:AG5)))</f>
        <v/>
      </c>
    </row>
    <row r="6" spans="1:33" ht="24" customHeight="1" x14ac:dyDescent="0.45">
      <c r="A6" s="81">
        <f>IF(ROWS($A$2:A6)&gt;COUNTA(Management!$F$7:$F$36),"",ROWS($A$2:A6))</f>
        <v>5</v>
      </c>
      <c r="B6" s="95" t="str">
        <f>IF($A6="","",INDEX(Dashboard!$A$2:$A$31,MATCH(LARGE(Dashboard!$AI$2:$AI$31,$A6),Dashboard!$AI$2:$AI$31,0)))</f>
        <v>Team30</v>
      </c>
      <c r="C6" s="110" t="str">
        <f>IF($A6="","",INDEX(Dashboard!$AG$2:$AG$31,MATCH(LARGE(Dashboard!$AI$2:$AI$31,$A6),Dashboard!$AI$2:$AI$31,0))&amp;" / "&amp;INDEX(Dashboard!$AH$2:$AH$31,MATCH(LARGE(Dashboard!$AI$2:$AI$31,$A6),Dashboard!$AI$2:$AI$31,0)))</f>
        <v>82 / 140</v>
      </c>
      <c r="D6" s="102" t="str" cm="1">
        <f t="array" ref="D6">IF(OR($A6="",COLUMNS($D6:D6)&gt;Management!$C$4),"",N(INDEX(Dashboard!$C$2:$AF$31,MATCH(LARGE(Dashboard!$AI$2:$AI$31,$A6),Dashboard!$AI$2:$AI$31,0),COLUMNS($D6:D6)))&amp;"/"&amp;INDEX(Management!$B$7:$B$36,COLUMNS($D6:D6)))</f>
        <v>6/10</v>
      </c>
      <c r="E6" s="82" t="str" cm="1">
        <f t="array" ref="E6">IF(OR($A6="",COLUMNS($D6:E6)&gt;Management!$C$4),"",N(INDEX(Dashboard!$C$2:$AF$31,MATCH(LARGE(Dashboard!$AI$2:$AI$31,$A6),Dashboard!$AI$2:$AI$31,0),COLUMNS($D6:E6)))&amp;"/"&amp;INDEX(Management!$B$7:$B$36,COLUMNS($D6:E6)))</f>
        <v>10/10</v>
      </c>
      <c r="F6" s="82" t="str" cm="1">
        <f t="array" ref="F6">IF(OR($A6="",COLUMNS($D6:F6)&gt;Management!$C$4),"",N(INDEX(Dashboard!$C$2:$AF$31,MATCH(LARGE(Dashboard!$AI$2:$AI$31,$A6),Dashboard!$AI$2:$AI$31,0),COLUMNS($D6:F6)))&amp;"/"&amp;INDEX(Management!$B$7:$B$36,COLUMNS($D6:F6)))</f>
        <v>9/10</v>
      </c>
      <c r="G6" s="82" t="str" cm="1">
        <f t="array" ref="G6">IF(OR($A6="",COLUMNS($D6:G6)&gt;Management!$C$4),"",N(INDEX(Dashboard!$C$2:$AF$31,MATCH(LARGE(Dashboard!$AI$2:$AI$31,$A6),Dashboard!$AI$2:$AI$31,0),COLUMNS($D6:G6)))&amp;"/"&amp;INDEX(Management!$B$7:$B$36,COLUMNS($D6:G6)))</f>
        <v>10/20</v>
      </c>
      <c r="H6" s="82" t="str" cm="1">
        <f t="array" ref="H6">IF(OR($A6="",COLUMNS($D6:H6)&gt;Management!$C$4),"",N(INDEX(Dashboard!$C$2:$AF$31,MATCH(LARGE(Dashboard!$AI$2:$AI$31,$A6),Dashboard!$AI$2:$AI$31,0),COLUMNS($D6:H6)))&amp;"/"&amp;INDEX(Management!$B$7:$B$36,COLUMNS($D6:H6)))</f>
        <v>9/10</v>
      </c>
      <c r="I6" s="82" t="str" cm="1">
        <f t="array" ref="I6">IF(OR($A6="",COLUMNS($D6:I6)&gt;Management!$C$4),"",N(INDEX(Dashboard!$C$2:$AF$31,MATCH(LARGE(Dashboard!$AI$2:$AI$31,$A6),Dashboard!$AI$2:$AI$31,0),COLUMNS($D6:I6)))&amp;"/"&amp;INDEX(Management!$B$7:$B$36,COLUMNS($D6:I6)))</f>
        <v>4/10</v>
      </c>
      <c r="J6" s="82" t="str" cm="1">
        <f t="array" ref="J6">IF(OR($A6="",COLUMNS($D6:J6)&gt;Management!$C$4),"",N(INDEX(Dashboard!$C$2:$AF$31,MATCH(LARGE(Dashboard!$AI$2:$AI$31,$A6),Dashboard!$AI$2:$AI$31,0),COLUMNS($D6:J6)))&amp;"/"&amp;INDEX(Management!$B$7:$B$36,COLUMNS($D6:J6)))</f>
        <v>10/10</v>
      </c>
      <c r="K6" s="82" t="str" cm="1">
        <f t="array" ref="K6">IF(OR($A6="",COLUMNS($D6:K6)&gt;Management!$C$4),"",N(INDEX(Dashboard!$C$2:$AF$31,MATCH(LARGE(Dashboard!$AI$2:$AI$31,$A6),Dashboard!$AI$2:$AI$31,0),COLUMNS($D6:K6)))&amp;"/"&amp;INDEX(Management!$B$7:$B$36,COLUMNS($D6:K6)))</f>
        <v>9/15</v>
      </c>
      <c r="L6" s="82" t="str" cm="1">
        <f t="array" ref="L6">IF(OR($A6="",COLUMNS($D6:L6)&gt;Management!$C$4),"",N(INDEX(Dashboard!$C$2:$AF$31,MATCH(LARGE(Dashboard!$AI$2:$AI$31,$A6),Dashboard!$AI$2:$AI$31,0),COLUMNS($D6:L6)))&amp;"/"&amp;INDEX(Management!$B$7:$B$36,COLUMNS($D6:L6)))</f>
        <v>4/10</v>
      </c>
      <c r="M6" s="82" t="str" cm="1">
        <f t="array" ref="M6">IF(OR($A6="",COLUMNS($D6:M6)&gt;Management!$C$4),"",N(INDEX(Dashboard!$C$2:$AF$31,MATCH(LARGE(Dashboard!$AI$2:$AI$31,$A6),Dashboard!$AI$2:$AI$31,0),COLUMNS($D6:M6)))&amp;"/"&amp;INDEX(Management!$B$7:$B$36,COLUMNS($D6:M6)))</f>
        <v>3/10</v>
      </c>
      <c r="N6" s="82" t="str" cm="1">
        <f t="array" ref="N6">IF(OR($A6="",COLUMNS($D6:N6)&gt;Management!$C$4),"",N(INDEX(Dashboard!$C$2:$AF$31,MATCH(LARGE(Dashboard!$AI$2:$AI$31,$A6),Dashboard!$AI$2:$AI$31,0),COLUMNS($D6:N6)))&amp;"/"&amp;INDEX(Management!$B$7:$B$36,COLUMNS($D6:N6)))</f>
        <v>0/5</v>
      </c>
      <c r="O6" s="82" t="str" cm="1">
        <f t="array" ref="O6">IF(OR($A6="",COLUMNS($D6:O6)&gt;Management!$C$4),"",N(INDEX(Dashboard!$C$2:$AF$31,MATCH(LARGE(Dashboard!$AI$2:$AI$31,$A6),Dashboard!$AI$2:$AI$31,0),COLUMNS($D6:O6)))&amp;"/"&amp;INDEX(Management!$B$7:$B$36,COLUMNS($D6:O6)))</f>
        <v>4/10</v>
      </c>
      <c r="P6" s="82" t="str" cm="1">
        <f t="array" ref="P6">IF(OR($A6="",COLUMNS($D6:P6)&gt;Management!$C$4),"",N(INDEX(Dashboard!$C$2:$AF$31,MATCH(LARGE(Dashboard!$AI$2:$AI$31,$A6),Dashboard!$AI$2:$AI$31,0),COLUMNS($D6:P6)))&amp;"/"&amp;INDEX(Management!$B$7:$B$36,COLUMNS($D6:P6)))</f>
        <v>4/10</v>
      </c>
      <c r="Q6" s="82" t="str" cm="1">
        <f t="array" ref="Q6">IF(OR($A6="",COLUMNS($D6:Q6)&gt;Management!$C$4),"",N(INDEX(Dashboard!$C$2:$AF$31,MATCH(LARGE(Dashboard!$AI$2:$AI$31,$A6),Dashboard!$AI$2:$AI$31,0),COLUMNS($D6:Q6)))&amp;"/"&amp;INDEX(Management!$B$7:$B$36,COLUMNS($D6:Q6)))</f>
        <v/>
      </c>
      <c r="R6" s="82" t="str" cm="1">
        <f t="array" ref="R6">IF(OR($A6="",COLUMNS($D6:R6)&gt;Management!$C$4),"",N(INDEX(Dashboard!$C$2:$AF$31,MATCH(LARGE(Dashboard!$AI$2:$AI$31,$A6),Dashboard!$AI$2:$AI$31,0),COLUMNS($D6:R6)))&amp;"/"&amp;INDEX(Management!$B$7:$B$36,COLUMNS($D6:R6)))</f>
        <v/>
      </c>
      <c r="S6" s="82" t="str" cm="1">
        <f t="array" ref="S6">IF(OR($A6="",COLUMNS($D6:S6)&gt;Management!$C$4),"",N(INDEX(Dashboard!$C$2:$AF$31,MATCH(LARGE(Dashboard!$AI$2:$AI$31,$A6),Dashboard!$AI$2:$AI$31,0),COLUMNS($D6:S6)))&amp;"/"&amp;INDEX(Management!$B$7:$B$36,COLUMNS($D6:S6)))</f>
        <v/>
      </c>
      <c r="T6" s="82" t="str" cm="1">
        <f t="array" ref="T6">IF(OR($A6="",COLUMNS($D6:T6)&gt;Management!$C$4),"",N(INDEX(Dashboard!$C$2:$AF$31,MATCH(LARGE(Dashboard!$AI$2:$AI$31,$A6),Dashboard!$AI$2:$AI$31,0),COLUMNS($D6:T6)))&amp;"/"&amp;INDEX(Management!$B$7:$B$36,COLUMNS($D6:T6)))</f>
        <v/>
      </c>
      <c r="U6" s="82" t="str" cm="1">
        <f t="array" ref="U6">IF(OR($A6="",COLUMNS($D6:U6)&gt;Management!$C$4),"",N(INDEX(Dashboard!$C$2:$AF$31,MATCH(LARGE(Dashboard!$AI$2:$AI$31,$A6),Dashboard!$AI$2:$AI$31,0),COLUMNS($D6:U6)))&amp;"/"&amp;INDEX(Management!$B$7:$B$36,COLUMNS($D6:U6)))</f>
        <v/>
      </c>
      <c r="V6" s="82" t="str" cm="1">
        <f t="array" ref="V6">IF(OR($A6="",COLUMNS($D6:V6)&gt;Management!$C$4),"",N(INDEX(Dashboard!$C$2:$AF$31,MATCH(LARGE(Dashboard!$AI$2:$AI$31,$A6),Dashboard!$AI$2:$AI$31,0),COLUMNS($D6:V6)))&amp;"/"&amp;INDEX(Management!$B$7:$B$36,COLUMNS($D6:V6)))</f>
        <v/>
      </c>
      <c r="W6" s="82" t="str" cm="1">
        <f t="array" ref="W6">IF(OR($A6="",COLUMNS($D6:W6)&gt;Management!$C$4),"",N(INDEX(Dashboard!$C$2:$AF$31,MATCH(LARGE(Dashboard!$AI$2:$AI$31,$A6),Dashboard!$AI$2:$AI$31,0),COLUMNS($D6:W6)))&amp;"/"&amp;INDEX(Management!$B$7:$B$36,COLUMNS($D6:W6)))</f>
        <v/>
      </c>
      <c r="X6" s="82" t="str" cm="1">
        <f t="array" ref="X6">IF(OR($A6="",COLUMNS($D6:X6)&gt;Management!$C$4),"",N(INDEX(Dashboard!$C$2:$AF$31,MATCH(LARGE(Dashboard!$AI$2:$AI$31,$A6),Dashboard!$AI$2:$AI$31,0),COLUMNS($D6:X6)))&amp;"/"&amp;INDEX(Management!$B$7:$B$36,COLUMNS($D6:X6)))</f>
        <v/>
      </c>
      <c r="Y6" s="82" t="str" cm="1">
        <f t="array" ref="Y6">IF(OR($A6="",COLUMNS($D6:Y6)&gt;Management!$C$4),"",N(INDEX(Dashboard!$C$2:$AF$31,MATCH(LARGE(Dashboard!$AI$2:$AI$31,$A6),Dashboard!$AI$2:$AI$31,0),COLUMNS($D6:Y6)))&amp;"/"&amp;INDEX(Management!$B$7:$B$36,COLUMNS($D6:Y6)))</f>
        <v/>
      </c>
      <c r="Z6" s="82" t="str" cm="1">
        <f t="array" ref="Z6">IF(OR($A6="",COLUMNS($D6:Z6)&gt;Management!$C$4),"",N(INDEX(Dashboard!$C$2:$AF$31,MATCH(LARGE(Dashboard!$AI$2:$AI$31,$A6),Dashboard!$AI$2:$AI$31,0),COLUMNS($D6:Z6)))&amp;"/"&amp;INDEX(Management!$B$7:$B$36,COLUMNS($D6:Z6)))</f>
        <v/>
      </c>
      <c r="AA6" s="82" t="str" cm="1">
        <f t="array" ref="AA6">IF(OR($A6="",COLUMNS($D6:AA6)&gt;Management!$C$4),"",N(INDEX(Dashboard!$C$2:$AF$31,MATCH(LARGE(Dashboard!$AI$2:$AI$31,$A6),Dashboard!$AI$2:$AI$31,0),COLUMNS($D6:AA6)))&amp;"/"&amp;INDEX(Management!$B$7:$B$36,COLUMNS($D6:AA6)))</f>
        <v/>
      </c>
      <c r="AB6" s="82" t="str" cm="1">
        <f t="array" ref="AB6">IF(OR($A6="",COLUMNS($D6:AB6)&gt;Management!$C$4),"",N(INDEX(Dashboard!$C$2:$AF$31,MATCH(LARGE(Dashboard!$AI$2:$AI$31,$A6),Dashboard!$AI$2:$AI$31,0),COLUMNS($D6:AB6)))&amp;"/"&amp;INDEX(Management!$B$7:$B$36,COLUMNS($D6:AB6)))</f>
        <v/>
      </c>
      <c r="AC6" s="82" t="str" cm="1">
        <f t="array" ref="AC6">IF(OR($A6="",COLUMNS($D6:AC6)&gt;Management!$C$4),"",N(INDEX(Dashboard!$C$2:$AF$31,MATCH(LARGE(Dashboard!$AI$2:$AI$31,$A6),Dashboard!$AI$2:$AI$31,0),COLUMNS($D6:AC6)))&amp;"/"&amp;INDEX(Management!$B$7:$B$36,COLUMNS($D6:AC6)))</f>
        <v/>
      </c>
      <c r="AD6" s="82" t="str" cm="1">
        <f t="array" ref="AD6">IF(OR($A6="",COLUMNS($D6:AD6)&gt;Management!$C$4),"",N(INDEX(Dashboard!$C$2:$AF$31,MATCH(LARGE(Dashboard!$AI$2:$AI$31,$A6),Dashboard!$AI$2:$AI$31,0),COLUMNS($D6:AD6)))&amp;"/"&amp;INDEX(Management!$B$7:$B$36,COLUMNS($D6:AD6)))</f>
        <v/>
      </c>
      <c r="AE6" s="82" t="str" cm="1">
        <f t="array" ref="AE6">IF(OR($A6="",COLUMNS($D6:AE6)&gt;Management!$C$4),"",N(INDEX(Dashboard!$C$2:$AF$31,MATCH(LARGE(Dashboard!$AI$2:$AI$31,$A6),Dashboard!$AI$2:$AI$31,0),COLUMNS($D6:AE6)))&amp;"/"&amp;INDEX(Management!$B$7:$B$36,COLUMNS($D6:AE6)))</f>
        <v/>
      </c>
      <c r="AF6" s="82" t="str" cm="1">
        <f t="array" ref="AF6">IF(OR($A6="",COLUMNS($D6:AF6)&gt;Management!$C$4),"",N(INDEX(Dashboard!$C$2:$AF$31,MATCH(LARGE(Dashboard!$AI$2:$AI$31,$A6),Dashboard!$AI$2:$AI$31,0),COLUMNS($D6:AF6)))&amp;"/"&amp;INDEX(Management!$B$7:$B$36,COLUMNS($D6:AF6)))</f>
        <v/>
      </c>
      <c r="AG6" s="83" t="str" cm="1">
        <f t="array" ref="AG6">IF(OR($A6="",COLUMNS($D6:AG6)&gt;Management!$C$4),"",N(INDEX(Dashboard!$C$2:$AF$31,MATCH(LARGE(Dashboard!$AI$2:$AI$31,$A6),Dashboard!$AI$2:$AI$31,0),COLUMNS($D6:AG6)))&amp;"/"&amp;INDEX(Management!$B$7:$B$36,COLUMNS($D6:AG6)))</f>
        <v/>
      </c>
    </row>
    <row r="7" spans="1:33" ht="24" customHeight="1" x14ac:dyDescent="0.45">
      <c r="A7" s="84">
        <f>IF(ROWS($A$2:A7)&gt;COUNTA(Management!$F$7:$F$36),"",ROWS($A$2:A7))</f>
        <v>6</v>
      </c>
      <c r="B7" s="96" t="str">
        <f>IF($A7="","",INDEX(Dashboard!$A$2:$A$31,MATCH(LARGE(Dashboard!$AI$2:$AI$31,$A7),Dashboard!$AI$2:$AI$31,0)))</f>
        <v>De Vliegende Stroopwafels</v>
      </c>
      <c r="C7" s="110" t="str">
        <f>IF($A7="","",INDEX(Dashboard!$AG$2:$AG$31,MATCH(LARGE(Dashboard!$AI$2:$AI$31,$A7),Dashboard!$AI$2:$AI$31,0))&amp;" / "&amp;INDEX(Dashboard!$AH$2:$AH$31,MATCH(LARGE(Dashboard!$AI$2:$AI$31,$A7),Dashboard!$AI$2:$AI$31,0)))</f>
        <v>79 / 140</v>
      </c>
      <c r="D7" s="103" t="str" cm="1">
        <f t="array" ref="D7">IF(OR($A7="",COLUMNS($D7:D7)&gt;Management!$C$4),"",N(INDEX(Dashboard!$C$2:$AF$31,MATCH(LARGE(Dashboard!$AI$2:$AI$31,$A7),Dashboard!$AI$2:$AI$31,0),COLUMNS($D7:D7)))&amp;"/"&amp;INDEX(Management!$B$7:$B$36,COLUMNS($D7:D7)))</f>
        <v>3/10</v>
      </c>
      <c r="E7" s="85" t="str" cm="1">
        <f t="array" ref="E7">IF(OR($A7="",COLUMNS($D7:E7)&gt;Management!$C$4),"",N(INDEX(Dashboard!$C$2:$AF$31,MATCH(LARGE(Dashboard!$AI$2:$AI$31,$A7),Dashboard!$AI$2:$AI$31,0),COLUMNS($D7:E7)))&amp;"/"&amp;INDEX(Management!$B$7:$B$36,COLUMNS($D7:E7)))</f>
        <v>4/10</v>
      </c>
      <c r="F7" s="85" t="str" cm="1">
        <f t="array" ref="F7">IF(OR($A7="",COLUMNS($D7:F7)&gt;Management!$C$4),"",N(INDEX(Dashboard!$C$2:$AF$31,MATCH(LARGE(Dashboard!$AI$2:$AI$31,$A7),Dashboard!$AI$2:$AI$31,0),COLUMNS($D7:F7)))&amp;"/"&amp;INDEX(Management!$B$7:$B$36,COLUMNS($D7:F7)))</f>
        <v>1/10</v>
      </c>
      <c r="G7" s="85" t="str" cm="1">
        <f t="array" ref="G7">IF(OR($A7="",COLUMNS($D7:G7)&gt;Management!$C$4),"",N(INDEX(Dashboard!$C$2:$AF$31,MATCH(LARGE(Dashboard!$AI$2:$AI$31,$A7),Dashboard!$AI$2:$AI$31,0),COLUMNS($D7:G7)))&amp;"/"&amp;INDEX(Management!$B$7:$B$36,COLUMNS($D7:G7)))</f>
        <v>5/20</v>
      </c>
      <c r="H7" s="85" t="str" cm="1">
        <f t="array" ref="H7">IF(OR($A7="",COLUMNS($D7:H7)&gt;Management!$C$4),"",N(INDEX(Dashboard!$C$2:$AF$31,MATCH(LARGE(Dashboard!$AI$2:$AI$31,$A7),Dashboard!$AI$2:$AI$31,0),COLUMNS($D7:H7)))&amp;"/"&amp;INDEX(Management!$B$7:$B$36,COLUMNS($D7:H7)))</f>
        <v>6/10</v>
      </c>
      <c r="I7" s="85" t="str" cm="1">
        <f t="array" ref="I7">IF(OR($A7="",COLUMNS($D7:I7)&gt;Management!$C$4),"",N(INDEX(Dashboard!$C$2:$AF$31,MATCH(LARGE(Dashboard!$AI$2:$AI$31,$A7),Dashboard!$AI$2:$AI$31,0),COLUMNS($D7:I7)))&amp;"/"&amp;INDEX(Management!$B$7:$B$36,COLUMNS($D7:I7)))</f>
        <v>10/10</v>
      </c>
      <c r="J7" s="85" t="str" cm="1">
        <f t="array" ref="J7">IF(OR($A7="",COLUMNS($D7:J7)&gt;Management!$C$4),"",N(INDEX(Dashboard!$C$2:$AF$31,MATCH(LARGE(Dashboard!$AI$2:$AI$31,$A7),Dashboard!$AI$2:$AI$31,0),COLUMNS($D7:J7)))&amp;"/"&amp;INDEX(Management!$B$7:$B$36,COLUMNS($D7:J7)))</f>
        <v>6/10</v>
      </c>
      <c r="K7" s="85" t="str" cm="1">
        <f t="array" ref="K7">IF(OR($A7="",COLUMNS($D7:K7)&gt;Management!$C$4),"",N(INDEX(Dashboard!$C$2:$AF$31,MATCH(LARGE(Dashboard!$AI$2:$AI$31,$A7),Dashboard!$AI$2:$AI$31,0),COLUMNS($D7:K7)))&amp;"/"&amp;INDEX(Management!$B$7:$B$36,COLUMNS($D7:K7)))</f>
        <v>15/15</v>
      </c>
      <c r="L7" s="85" t="str" cm="1">
        <f t="array" ref="L7">IF(OR($A7="",COLUMNS($D7:L7)&gt;Management!$C$4),"",N(INDEX(Dashboard!$C$2:$AF$31,MATCH(LARGE(Dashboard!$AI$2:$AI$31,$A7),Dashboard!$AI$2:$AI$31,0),COLUMNS($D7:L7)))&amp;"/"&amp;INDEX(Management!$B$7:$B$36,COLUMNS($D7:L7)))</f>
        <v>6/10</v>
      </c>
      <c r="M7" s="85" t="str" cm="1">
        <f t="array" ref="M7">IF(OR($A7="",COLUMNS($D7:M7)&gt;Management!$C$4),"",N(INDEX(Dashboard!$C$2:$AF$31,MATCH(LARGE(Dashboard!$AI$2:$AI$31,$A7),Dashboard!$AI$2:$AI$31,0),COLUMNS($D7:M7)))&amp;"/"&amp;INDEX(Management!$B$7:$B$36,COLUMNS($D7:M7)))</f>
        <v>6/10</v>
      </c>
      <c r="N7" s="85" t="str" cm="1">
        <f t="array" ref="N7">IF(OR($A7="",COLUMNS($D7:N7)&gt;Management!$C$4),"",N(INDEX(Dashboard!$C$2:$AF$31,MATCH(LARGE(Dashboard!$AI$2:$AI$31,$A7),Dashboard!$AI$2:$AI$31,0),COLUMNS($D7:N7)))&amp;"/"&amp;INDEX(Management!$B$7:$B$36,COLUMNS($D7:N7)))</f>
        <v>5/5</v>
      </c>
      <c r="O7" s="85" t="str" cm="1">
        <f t="array" ref="O7">IF(OR($A7="",COLUMNS($D7:O7)&gt;Management!$C$4),"",N(INDEX(Dashboard!$C$2:$AF$31,MATCH(LARGE(Dashboard!$AI$2:$AI$31,$A7),Dashboard!$AI$2:$AI$31,0),COLUMNS($D7:O7)))&amp;"/"&amp;INDEX(Management!$B$7:$B$36,COLUMNS($D7:O7)))</f>
        <v>6/10</v>
      </c>
      <c r="P7" s="85" t="str" cm="1">
        <f t="array" ref="P7">IF(OR($A7="",COLUMNS($D7:P7)&gt;Management!$C$4),"",N(INDEX(Dashboard!$C$2:$AF$31,MATCH(LARGE(Dashboard!$AI$2:$AI$31,$A7),Dashboard!$AI$2:$AI$31,0),COLUMNS($D7:P7)))&amp;"/"&amp;INDEX(Management!$B$7:$B$36,COLUMNS($D7:P7)))</f>
        <v>6/10</v>
      </c>
      <c r="Q7" s="85" t="str" cm="1">
        <f t="array" ref="Q7">IF(OR($A7="",COLUMNS($D7:Q7)&gt;Management!$C$4),"",N(INDEX(Dashboard!$C$2:$AF$31,MATCH(LARGE(Dashboard!$AI$2:$AI$31,$A7),Dashboard!$AI$2:$AI$31,0),COLUMNS($D7:Q7)))&amp;"/"&amp;INDEX(Management!$B$7:$B$36,COLUMNS($D7:Q7)))</f>
        <v/>
      </c>
      <c r="R7" s="85" t="str" cm="1">
        <f t="array" ref="R7">IF(OR($A7="",COLUMNS($D7:R7)&gt;Management!$C$4),"",N(INDEX(Dashboard!$C$2:$AF$31,MATCH(LARGE(Dashboard!$AI$2:$AI$31,$A7),Dashboard!$AI$2:$AI$31,0),COLUMNS($D7:R7)))&amp;"/"&amp;INDEX(Management!$B$7:$B$36,COLUMNS($D7:R7)))</f>
        <v/>
      </c>
      <c r="S7" s="85" t="str" cm="1">
        <f t="array" ref="S7">IF(OR($A7="",COLUMNS($D7:S7)&gt;Management!$C$4),"",N(INDEX(Dashboard!$C$2:$AF$31,MATCH(LARGE(Dashboard!$AI$2:$AI$31,$A7),Dashboard!$AI$2:$AI$31,0),COLUMNS($D7:S7)))&amp;"/"&amp;INDEX(Management!$B$7:$B$36,COLUMNS($D7:S7)))</f>
        <v/>
      </c>
      <c r="T7" s="85" t="str" cm="1">
        <f t="array" ref="T7">IF(OR($A7="",COLUMNS($D7:T7)&gt;Management!$C$4),"",N(INDEX(Dashboard!$C$2:$AF$31,MATCH(LARGE(Dashboard!$AI$2:$AI$31,$A7),Dashboard!$AI$2:$AI$31,0),COLUMNS($D7:T7)))&amp;"/"&amp;INDEX(Management!$B$7:$B$36,COLUMNS($D7:T7)))</f>
        <v/>
      </c>
      <c r="U7" s="85" t="str" cm="1">
        <f t="array" ref="U7">IF(OR($A7="",COLUMNS($D7:U7)&gt;Management!$C$4),"",N(INDEX(Dashboard!$C$2:$AF$31,MATCH(LARGE(Dashboard!$AI$2:$AI$31,$A7),Dashboard!$AI$2:$AI$31,0),COLUMNS($D7:U7)))&amp;"/"&amp;INDEX(Management!$B$7:$B$36,COLUMNS($D7:U7)))</f>
        <v/>
      </c>
      <c r="V7" s="85" t="str" cm="1">
        <f t="array" ref="V7">IF(OR($A7="",COLUMNS($D7:V7)&gt;Management!$C$4),"",N(INDEX(Dashboard!$C$2:$AF$31,MATCH(LARGE(Dashboard!$AI$2:$AI$31,$A7),Dashboard!$AI$2:$AI$31,0),COLUMNS($D7:V7)))&amp;"/"&amp;INDEX(Management!$B$7:$B$36,COLUMNS($D7:V7)))</f>
        <v/>
      </c>
      <c r="W7" s="85" t="str" cm="1">
        <f t="array" ref="W7">IF(OR($A7="",COLUMNS($D7:W7)&gt;Management!$C$4),"",N(INDEX(Dashboard!$C$2:$AF$31,MATCH(LARGE(Dashboard!$AI$2:$AI$31,$A7),Dashboard!$AI$2:$AI$31,0),COLUMNS($D7:W7)))&amp;"/"&amp;INDEX(Management!$B$7:$B$36,COLUMNS($D7:W7)))</f>
        <v/>
      </c>
      <c r="X7" s="85" t="str" cm="1">
        <f t="array" ref="X7">IF(OR($A7="",COLUMNS($D7:X7)&gt;Management!$C$4),"",N(INDEX(Dashboard!$C$2:$AF$31,MATCH(LARGE(Dashboard!$AI$2:$AI$31,$A7),Dashboard!$AI$2:$AI$31,0),COLUMNS($D7:X7)))&amp;"/"&amp;INDEX(Management!$B$7:$B$36,COLUMNS($D7:X7)))</f>
        <v/>
      </c>
      <c r="Y7" s="85" t="str" cm="1">
        <f t="array" ref="Y7">IF(OR($A7="",COLUMNS($D7:Y7)&gt;Management!$C$4),"",N(INDEX(Dashboard!$C$2:$AF$31,MATCH(LARGE(Dashboard!$AI$2:$AI$31,$A7),Dashboard!$AI$2:$AI$31,0),COLUMNS($D7:Y7)))&amp;"/"&amp;INDEX(Management!$B$7:$B$36,COLUMNS($D7:Y7)))</f>
        <v/>
      </c>
      <c r="Z7" s="85" t="str" cm="1">
        <f t="array" ref="Z7">IF(OR($A7="",COLUMNS($D7:Z7)&gt;Management!$C$4),"",N(INDEX(Dashboard!$C$2:$AF$31,MATCH(LARGE(Dashboard!$AI$2:$AI$31,$A7),Dashboard!$AI$2:$AI$31,0),COLUMNS($D7:Z7)))&amp;"/"&amp;INDEX(Management!$B$7:$B$36,COLUMNS($D7:Z7)))</f>
        <v/>
      </c>
      <c r="AA7" s="85" t="str" cm="1">
        <f t="array" ref="AA7">IF(OR($A7="",COLUMNS($D7:AA7)&gt;Management!$C$4),"",N(INDEX(Dashboard!$C$2:$AF$31,MATCH(LARGE(Dashboard!$AI$2:$AI$31,$A7),Dashboard!$AI$2:$AI$31,0),COLUMNS($D7:AA7)))&amp;"/"&amp;INDEX(Management!$B$7:$B$36,COLUMNS($D7:AA7)))</f>
        <v/>
      </c>
      <c r="AB7" s="85" t="str" cm="1">
        <f t="array" ref="AB7">IF(OR($A7="",COLUMNS($D7:AB7)&gt;Management!$C$4),"",N(INDEX(Dashboard!$C$2:$AF$31,MATCH(LARGE(Dashboard!$AI$2:$AI$31,$A7),Dashboard!$AI$2:$AI$31,0),COLUMNS($D7:AB7)))&amp;"/"&amp;INDEX(Management!$B$7:$B$36,COLUMNS($D7:AB7)))</f>
        <v/>
      </c>
      <c r="AC7" s="85" t="str" cm="1">
        <f t="array" ref="AC7">IF(OR($A7="",COLUMNS($D7:AC7)&gt;Management!$C$4),"",N(INDEX(Dashboard!$C$2:$AF$31,MATCH(LARGE(Dashboard!$AI$2:$AI$31,$A7),Dashboard!$AI$2:$AI$31,0),COLUMNS($D7:AC7)))&amp;"/"&amp;INDEX(Management!$B$7:$B$36,COLUMNS($D7:AC7)))</f>
        <v/>
      </c>
      <c r="AD7" s="85" t="str" cm="1">
        <f t="array" ref="AD7">IF(OR($A7="",COLUMNS($D7:AD7)&gt;Management!$C$4),"",N(INDEX(Dashboard!$C$2:$AF$31,MATCH(LARGE(Dashboard!$AI$2:$AI$31,$A7),Dashboard!$AI$2:$AI$31,0),COLUMNS($D7:AD7)))&amp;"/"&amp;INDEX(Management!$B$7:$B$36,COLUMNS($D7:AD7)))</f>
        <v/>
      </c>
      <c r="AE7" s="85" t="str" cm="1">
        <f t="array" ref="AE7">IF(OR($A7="",COLUMNS($D7:AE7)&gt;Management!$C$4),"",N(INDEX(Dashboard!$C$2:$AF$31,MATCH(LARGE(Dashboard!$AI$2:$AI$31,$A7),Dashboard!$AI$2:$AI$31,0),COLUMNS($D7:AE7)))&amp;"/"&amp;INDEX(Management!$B$7:$B$36,COLUMNS($D7:AE7)))</f>
        <v/>
      </c>
      <c r="AF7" s="85" t="str" cm="1">
        <f t="array" ref="AF7">IF(OR($A7="",COLUMNS($D7:AF7)&gt;Management!$C$4),"",N(INDEX(Dashboard!$C$2:$AF$31,MATCH(LARGE(Dashboard!$AI$2:$AI$31,$A7),Dashboard!$AI$2:$AI$31,0),COLUMNS($D7:AF7)))&amp;"/"&amp;INDEX(Management!$B$7:$B$36,COLUMNS($D7:AF7)))</f>
        <v/>
      </c>
      <c r="AG7" s="86" t="str" cm="1">
        <f t="array" ref="AG7">IF(OR($A7="",COLUMNS($D7:AG7)&gt;Management!$C$4),"",N(INDEX(Dashboard!$C$2:$AF$31,MATCH(LARGE(Dashboard!$AI$2:$AI$31,$A7),Dashboard!$AI$2:$AI$31,0),COLUMNS($D7:AG7)))&amp;"/"&amp;INDEX(Management!$B$7:$B$36,COLUMNS($D7:AG7)))</f>
        <v/>
      </c>
    </row>
    <row r="8" spans="1:33" ht="24" customHeight="1" x14ac:dyDescent="0.45">
      <c r="A8" s="81">
        <f>IF(ROWS($A$2:A8)&gt;COUNTA(Management!$F$7:$F$36),"",ROWS($A$2:A8))</f>
        <v>7</v>
      </c>
      <c r="B8" s="95" t="str">
        <f>IF($A8="","",INDEX(Dashboard!$A$2:$A$31,MATCH(LARGE(Dashboard!$AI$2:$AI$31,$A8),Dashboard!$AI$2:$AI$31,0)))</f>
        <v>Nogeenploeg</v>
      </c>
      <c r="C8" s="110" t="str">
        <f>IF($A8="","",INDEX(Dashboard!$AG$2:$AG$31,MATCH(LARGE(Dashboard!$AI$2:$AI$31,$A8),Dashboard!$AI$2:$AI$31,0))&amp;" / "&amp;INDEX(Dashboard!$AH$2:$AH$31,MATCH(LARGE(Dashboard!$AI$2:$AI$31,$A8),Dashboard!$AI$2:$AI$31,0)))</f>
        <v>78 / 140</v>
      </c>
      <c r="D8" s="102" t="str" cm="1">
        <f t="array" ref="D8">IF(OR($A8="",COLUMNS($D8:D8)&gt;Management!$C$4),"",N(INDEX(Dashboard!$C$2:$AF$31,MATCH(LARGE(Dashboard!$AI$2:$AI$31,$A8),Dashboard!$AI$2:$AI$31,0),COLUMNS($D8:D8)))&amp;"/"&amp;INDEX(Management!$B$7:$B$36,COLUMNS($D8:D8)))</f>
        <v>7/10</v>
      </c>
      <c r="E8" s="82" t="str" cm="1">
        <f t="array" ref="E8">IF(OR($A8="",COLUMNS($D8:E8)&gt;Management!$C$4),"",N(INDEX(Dashboard!$C$2:$AF$31,MATCH(LARGE(Dashboard!$AI$2:$AI$31,$A8),Dashboard!$AI$2:$AI$31,0),COLUMNS($D8:E8)))&amp;"/"&amp;INDEX(Management!$B$7:$B$36,COLUMNS($D8:E8)))</f>
        <v>3/10</v>
      </c>
      <c r="F8" s="82" t="str" cm="1">
        <f t="array" ref="F8">IF(OR($A8="",COLUMNS($D8:F8)&gt;Management!$C$4),"",N(INDEX(Dashboard!$C$2:$AF$31,MATCH(LARGE(Dashboard!$AI$2:$AI$31,$A8),Dashboard!$AI$2:$AI$31,0),COLUMNS($D8:F8)))&amp;"/"&amp;INDEX(Management!$B$7:$B$36,COLUMNS($D8:F8)))</f>
        <v>7/10</v>
      </c>
      <c r="G8" s="82" t="str" cm="1">
        <f t="array" ref="G8">IF(OR($A8="",COLUMNS($D8:G8)&gt;Management!$C$4),"",N(INDEX(Dashboard!$C$2:$AF$31,MATCH(LARGE(Dashboard!$AI$2:$AI$31,$A8),Dashboard!$AI$2:$AI$31,0),COLUMNS($D8:G8)))&amp;"/"&amp;INDEX(Management!$B$7:$B$36,COLUMNS($D8:G8)))</f>
        <v>12/20</v>
      </c>
      <c r="H8" s="82" t="str" cm="1">
        <f t="array" ref="H8">IF(OR($A8="",COLUMNS($D8:H8)&gt;Management!$C$4),"",N(INDEX(Dashboard!$C$2:$AF$31,MATCH(LARGE(Dashboard!$AI$2:$AI$31,$A8),Dashboard!$AI$2:$AI$31,0),COLUMNS($D8:H8)))&amp;"/"&amp;INDEX(Management!$B$7:$B$36,COLUMNS($D8:H8)))</f>
        <v>9/10</v>
      </c>
      <c r="I8" s="82" t="str" cm="1">
        <f t="array" ref="I8">IF(OR($A8="",COLUMNS($D8:I8)&gt;Management!$C$4),"",N(INDEX(Dashboard!$C$2:$AF$31,MATCH(LARGE(Dashboard!$AI$2:$AI$31,$A8),Dashboard!$AI$2:$AI$31,0),COLUMNS($D8:I8)))&amp;"/"&amp;INDEX(Management!$B$7:$B$36,COLUMNS($D8:I8)))</f>
        <v>3/10</v>
      </c>
      <c r="J8" s="82" t="str" cm="1">
        <f t="array" ref="J8">IF(OR($A8="",COLUMNS($D8:J8)&gt;Management!$C$4),"",N(INDEX(Dashboard!$C$2:$AF$31,MATCH(LARGE(Dashboard!$AI$2:$AI$31,$A8),Dashboard!$AI$2:$AI$31,0),COLUMNS($D8:J8)))&amp;"/"&amp;INDEX(Management!$B$7:$B$36,COLUMNS($D8:J8)))</f>
        <v>1/10</v>
      </c>
      <c r="K8" s="82" t="str" cm="1">
        <f t="array" ref="K8">IF(OR($A8="",COLUMNS($D8:K8)&gt;Management!$C$4),"",N(INDEX(Dashboard!$C$2:$AF$31,MATCH(LARGE(Dashboard!$AI$2:$AI$31,$A8),Dashboard!$AI$2:$AI$31,0),COLUMNS($D8:K8)))&amp;"/"&amp;INDEX(Management!$B$7:$B$36,COLUMNS($D8:K8)))</f>
        <v>14/15</v>
      </c>
      <c r="L8" s="82" t="str" cm="1">
        <f t="array" ref="L8">IF(OR($A8="",COLUMNS($D8:L8)&gt;Management!$C$4),"",N(INDEX(Dashboard!$C$2:$AF$31,MATCH(LARGE(Dashboard!$AI$2:$AI$31,$A8),Dashboard!$AI$2:$AI$31,0),COLUMNS($D8:L8)))&amp;"/"&amp;INDEX(Management!$B$7:$B$36,COLUMNS($D8:L8)))</f>
        <v>8/10</v>
      </c>
      <c r="M8" s="82" t="str" cm="1">
        <f t="array" ref="M8">IF(OR($A8="",COLUMNS($D8:M8)&gt;Management!$C$4),"",N(INDEX(Dashboard!$C$2:$AF$31,MATCH(LARGE(Dashboard!$AI$2:$AI$31,$A8),Dashboard!$AI$2:$AI$31,0),COLUMNS($D8:M8)))&amp;"/"&amp;INDEX(Management!$B$7:$B$36,COLUMNS($D8:M8)))</f>
        <v>4/10</v>
      </c>
      <c r="N8" s="82" t="str" cm="1">
        <f t="array" ref="N8">IF(OR($A8="",COLUMNS($D8:N8)&gt;Management!$C$4),"",N(INDEX(Dashboard!$C$2:$AF$31,MATCH(LARGE(Dashboard!$AI$2:$AI$31,$A8),Dashboard!$AI$2:$AI$31,0),COLUMNS($D8:N8)))&amp;"/"&amp;INDEX(Management!$B$7:$B$36,COLUMNS($D8:N8)))</f>
        <v>2/5</v>
      </c>
      <c r="O8" s="82" t="str" cm="1">
        <f t="array" ref="O8">IF(OR($A8="",COLUMNS($D8:O8)&gt;Management!$C$4),"",N(INDEX(Dashboard!$C$2:$AF$31,MATCH(LARGE(Dashboard!$AI$2:$AI$31,$A8),Dashboard!$AI$2:$AI$31,0),COLUMNS($D8:O8)))&amp;"/"&amp;INDEX(Management!$B$7:$B$36,COLUMNS($D8:O8)))</f>
        <v>4/10</v>
      </c>
      <c r="P8" s="82" t="str" cm="1">
        <f t="array" ref="P8">IF(OR($A8="",COLUMNS($D8:P8)&gt;Management!$C$4),"",N(INDEX(Dashboard!$C$2:$AF$31,MATCH(LARGE(Dashboard!$AI$2:$AI$31,$A8),Dashboard!$AI$2:$AI$31,0),COLUMNS($D8:P8)))&amp;"/"&amp;INDEX(Management!$B$7:$B$36,COLUMNS($D8:P8)))</f>
        <v>4/10</v>
      </c>
      <c r="Q8" s="82" t="str" cm="1">
        <f t="array" ref="Q8">IF(OR($A8="",COLUMNS($D8:Q8)&gt;Management!$C$4),"",N(INDEX(Dashboard!$C$2:$AF$31,MATCH(LARGE(Dashboard!$AI$2:$AI$31,$A8),Dashboard!$AI$2:$AI$31,0),COLUMNS($D8:Q8)))&amp;"/"&amp;INDEX(Management!$B$7:$B$36,COLUMNS($D8:Q8)))</f>
        <v/>
      </c>
      <c r="R8" s="82" t="str" cm="1">
        <f t="array" ref="R8">IF(OR($A8="",COLUMNS($D8:R8)&gt;Management!$C$4),"",N(INDEX(Dashboard!$C$2:$AF$31,MATCH(LARGE(Dashboard!$AI$2:$AI$31,$A8),Dashboard!$AI$2:$AI$31,0),COLUMNS($D8:R8)))&amp;"/"&amp;INDEX(Management!$B$7:$B$36,COLUMNS($D8:R8)))</f>
        <v/>
      </c>
      <c r="S8" s="82" t="str" cm="1">
        <f t="array" ref="S8">IF(OR($A8="",COLUMNS($D8:S8)&gt;Management!$C$4),"",N(INDEX(Dashboard!$C$2:$AF$31,MATCH(LARGE(Dashboard!$AI$2:$AI$31,$A8),Dashboard!$AI$2:$AI$31,0),COLUMNS($D8:S8)))&amp;"/"&amp;INDEX(Management!$B$7:$B$36,COLUMNS($D8:S8)))</f>
        <v/>
      </c>
      <c r="T8" s="82" t="str" cm="1">
        <f t="array" ref="T8">IF(OR($A8="",COLUMNS($D8:T8)&gt;Management!$C$4),"",N(INDEX(Dashboard!$C$2:$AF$31,MATCH(LARGE(Dashboard!$AI$2:$AI$31,$A8),Dashboard!$AI$2:$AI$31,0),COLUMNS($D8:T8)))&amp;"/"&amp;INDEX(Management!$B$7:$B$36,COLUMNS($D8:T8)))</f>
        <v/>
      </c>
      <c r="U8" s="82" t="str" cm="1">
        <f t="array" ref="U8">IF(OR($A8="",COLUMNS($D8:U8)&gt;Management!$C$4),"",N(INDEX(Dashboard!$C$2:$AF$31,MATCH(LARGE(Dashboard!$AI$2:$AI$31,$A8),Dashboard!$AI$2:$AI$31,0),COLUMNS($D8:U8)))&amp;"/"&amp;INDEX(Management!$B$7:$B$36,COLUMNS($D8:U8)))</f>
        <v/>
      </c>
      <c r="V8" s="82" t="str" cm="1">
        <f t="array" ref="V8">IF(OR($A8="",COLUMNS($D8:V8)&gt;Management!$C$4),"",N(INDEX(Dashboard!$C$2:$AF$31,MATCH(LARGE(Dashboard!$AI$2:$AI$31,$A8),Dashboard!$AI$2:$AI$31,0),COLUMNS($D8:V8)))&amp;"/"&amp;INDEX(Management!$B$7:$B$36,COLUMNS($D8:V8)))</f>
        <v/>
      </c>
      <c r="W8" s="82" t="str" cm="1">
        <f t="array" ref="W8">IF(OR($A8="",COLUMNS($D8:W8)&gt;Management!$C$4),"",N(INDEX(Dashboard!$C$2:$AF$31,MATCH(LARGE(Dashboard!$AI$2:$AI$31,$A8),Dashboard!$AI$2:$AI$31,0),COLUMNS($D8:W8)))&amp;"/"&amp;INDEX(Management!$B$7:$B$36,COLUMNS($D8:W8)))</f>
        <v/>
      </c>
      <c r="X8" s="82" t="str" cm="1">
        <f t="array" ref="X8">IF(OR($A8="",COLUMNS($D8:X8)&gt;Management!$C$4),"",N(INDEX(Dashboard!$C$2:$AF$31,MATCH(LARGE(Dashboard!$AI$2:$AI$31,$A8),Dashboard!$AI$2:$AI$31,0),COLUMNS($D8:X8)))&amp;"/"&amp;INDEX(Management!$B$7:$B$36,COLUMNS($D8:X8)))</f>
        <v/>
      </c>
      <c r="Y8" s="82" t="str" cm="1">
        <f t="array" ref="Y8">IF(OR($A8="",COLUMNS($D8:Y8)&gt;Management!$C$4),"",N(INDEX(Dashboard!$C$2:$AF$31,MATCH(LARGE(Dashboard!$AI$2:$AI$31,$A8),Dashboard!$AI$2:$AI$31,0),COLUMNS($D8:Y8)))&amp;"/"&amp;INDEX(Management!$B$7:$B$36,COLUMNS($D8:Y8)))</f>
        <v/>
      </c>
      <c r="Z8" s="82" t="str" cm="1">
        <f t="array" ref="Z8">IF(OR($A8="",COLUMNS($D8:Z8)&gt;Management!$C$4),"",N(INDEX(Dashboard!$C$2:$AF$31,MATCH(LARGE(Dashboard!$AI$2:$AI$31,$A8),Dashboard!$AI$2:$AI$31,0),COLUMNS($D8:Z8)))&amp;"/"&amp;INDEX(Management!$B$7:$B$36,COLUMNS($D8:Z8)))</f>
        <v/>
      </c>
      <c r="AA8" s="82" t="str" cm="1">
        <f t="array" ref="AA8">IF(OR($A8="",COLUMNS($D8:AA8)&gt;Management!$C$4),"",N(INDEX(Dashboard!$C$2:$AF$31,MATCH(LARGE(Dashboard!$AI$2:$AI$31,$A8),Dashboard!$AI$2:$AI$31,0),COLUMNS($D8:AA8)))&amp;"/"&amp;INDEX(Management!$B$7:$B$36,COLUMNS($D8:AA8)))</f>
        <v/>
      </c>
      <c r="AB8" s="82" t="str" cm="1">
        <f t="array" ref="AB8">IF(OR($A8="",COLUMNS($D8:AB8)&gt;Management!$C$4),"",N(INDEX(Dashboard!$C$2:$AF$31,MATCH(LARGE(Dashboard!$AI$2:$AI$31,$A8),Dashboard!$AI$2:$AI$31,0),COLUMNS($D8:AB8)))&amp;"/"&amp;INDEX(Management!$B$7:$B$36,COLUMNS($D8:AB8)))</f>
        <v/>
      </c>
      <c r="AC8" s="82" t="str" cm="1">
        <f t="array" ref="AC8">IF(OR($A8="",COLUMNS($D8:AC8)&gt;Management!$C$4),"",N(INDEX(Dashboard!$C$2:$AF$31,MATCH(LARGE(Dashboard!$AI$2:$AI$31,$A8),Dashboard!$AI$2:$AI$31,0),COLUMNS($D8:AC8)))&amp;"/"&amp;INDEX(Management!$B$7:$B$36,COLUMNS($D8:AC8)))</f>
        <v/>
      </c>
      <c r="AD8" s="82" t="str" cm="1">
        <f t="array" ref="AD8">IF(OR($A8="",COLUMNS($D8:AD8)&gt;Management!$C$4),"",N(INDEX(Dashboard!$C$2:$AF$31,MATCH(LARGE(Dashboard!$AI$2:$AI$31,$A8),Dashboard!$AI$2:$AI$31,0),COLUMNS($D8:AD8)))&amp;"/"&amp;INDEX(Management!$B$7:$B$36,COLUMNS($D8:AD8)))</f>
        <v/>
      </c>
      <c r="AE8" s="82" t="str" cm="1">
        <f t="array" ref="AE8">IF(OR($A8="",COLUMNS($D8:AE8)&gt;Management!$C$4),"",N(INDEX(Dashboard!$C$2:$AF$31,MATCH(LARGE(Dashboard!$AI$2:$AI$31,$A8),Dashboard!$AI$2:$AI$31,0),COLUMNS($D8:AE8)))&amp;"/"&amp;INDEX(Management!$B$7:$B$36,COLUMNS($D8:AE8)))</f>
        <v/>
      </c>
      <c r="AF8" s="82" t="str" cm="1">
        <f t="array" ref="AF8">IF(OR($A8="",COLUMNS($D8:AF8)&gt;Management!$C$4),"",N(INDEX(Dashboard!$C$2:$AF$31,MATCH(LARGE(Dashboard!$AI$2:$AI$31,$A8),Dashboard!$AI$2:$AI$31,0),COLUMNS($D8:AF8)))&amp;"/"&amp;INDEX(Management!$B$7:$B$36,COLUMNS($D8:AF8)))</f>
        <v/>
      </c>
      <c r="AG8" s="83" t="str" cm="1">
        <f t="array" ref="AG8">IF(OR($A8="",COLUMNS($D8:AG8)&gt;Management!$C$4),"",N(INDEX(Dashboard!$C$2:$AF$31,MATCH(LARGE(Dashboard!$AI$2:$AI$31,$A8),Dashboard!$AI$2:$AI$31,0),COLUMNS($D8:AG8)))&amp;"/"&amp;INDEX(Management!$B$7:$B$36,COLUMNS($D8:AG8)))</f>
        <v/>
      </c>
    </row>
    <row r="9" spans="1:33" ht="24" customHeight="1" x14ac:dyDescent="0.45">
      <c r="A9" s="84">
        <f>IF(ROWS($A$2:A9)&gt;COUNTA(Management!$F$7:$F$36),"",ROWS($A$2:A9))</f>
        <v>8</v>
      </c>
      <c r="B9" s="96" t="str">
        <f>IF($A9="","",INDEX(Dashboard!$A$2:$A$31,MATCH(LARGE(Dashboard!$AI$2:$AI$31,$A9),Dashboard!$AI$2:$AI$31,0)))</f>
        <v>Team36</v>
      </c>
      <c r="C9" s="110" t="str">
        <f>IF($A9="","",INDEX(Dashboard!$AG$2:$AG$31,MATCH(LARGE(Dashboard!$AI$2:$AI$31,$A9),Dashboard!$AI$2:$AI$31,0))&amp;" / "&amp;INDEX(Dashboard!$AH$2:$AH$31,MATCH(LARGE(Dashboard!$AI$2:$AI$31,$A9),Dashboard!$AI$2:$AI$31,0)))</f>
        <v>78 / 140</v>
      </c>
      <c r="D9" s="103" t="str" cm="1">
        <f t="array" ref="D9">IF(OR($A9="",COLUMNS($D9:D9)&gt;Management!$C$4),"",N(INDEX(Dashboard!$C$2:$AF$31,MATCH(LARGE(Dashboard!$AI$2:$AI$31,$A9),Dashboard!$AI$2:$AI$31,0),COLUMNS($D9:D9)))&amp;"/"&amp;INDEX(Management!$B$7:$B$36,COLUMNS($D9:D9)))</f>
        <v>7/10</v>
      </c>
      <c r="E9" s="85" t="str" cm="1">
        <f t="array" ref="E9">IF(OR($A9="",COLUMNS($D9:E9)&gt;Management!$C$4),"",N(INDEX(Dashboard!$C$2:$AF$31,MATCH(LARGE(Dashboard!$AI$2:$AI$31,$A9),Dashboard!$AI$2:$AI$31,0),COLUMNS($D9:E9)))&amp;"/"&amp;INDEX(Management!$B$7:$B$36,COLUMNS($D9:E9)))</f>
        <v>3/10</v>
      </c>
      <c r="F9" s="85" t="str" cm="1">
        <f t="array" ref="F9">IF(OR($A9="",COLUMNS($D9:F9)&gt;Management!$C$4),"",N(INDEX(Dashboard!$C$2:$AF$31,MATCH(LARGE(Dashboard!$AI$2:$AI$31,$A9),Dashboard!$AI$2:$AI$31,0),COLUMNS($D9:F9)))&amp;"/"&amp;INDEX(Management!$B$7:$B$36,COLUMNS($D9:F9)))</f>
        <v>7/10</v>
      </c>
      <c r="G9" s="85" t="str" cm="1">
        <f t="array" ref="G9">IF(OR($A9="",COLUMNS($D9:G9)&gt;Management!$C$4),"",N(INDEX(Dashboard!$C$2:$AF$31,MATCH(LARGE(Dashboard!$AI$2:$AI$31,$A9),Dashboard!$AI$2:$AI$31,0),COLUMNS($D9:G9)))&amp;"/"&amp;INDEX(Management!$B$7:$B$36,COLUMNS($D9:G9)))</f>
        <v>12/20</v>
      </c>
      <c r="H9" s="85" t="str" cm="1">
        <f t="array" ref="H9">IF(OR($A9="",COLUMNS($D9:H9)&gt;Management!$C$4),"",N(INDEX(Dashboard!$C$2:$AF$31,MATCH(LARGE(Dashboard!$AI$2:$AI$31,$A9),Dashboard!$AI$2:$AI$31,0),COLUMNS($D9:H9)))&amp;"/"&amp;INDEX(Management!$B$7:$B$36,COLUMNS($D9:H9)))</f>
        <v>9/10</v>
      </c>
      <c r="I9" s="85" t="str" cm="1">
        <f t="array" ref="I9">IF(OR($A9="",COLUMNS($D9:I9)&gt;Management!$C$4),"",N(INDEX(Dashboard!$C$2:$AF$31,MATCH(LARGE(Dashboard!$AI$2:$AI$31,$A9),Dashboard!$AI$2:$AI$31,0),COLUMNS($D9:I9)))&amp;"/"&amp;INDEX(Management!$B$7:$B$36,COLUMNS($D9:I9)))</f>
        <v>3/10</v>
      </c>
      <c r="J9" s="85" t="str" cm="1">
        <f t="array" ref="J9">IF(OR($A9="",COLUMNS($D9:J9)&gt;Management!$C$4),"",N(INDEX(Dashboard!$C$2:$AF$31,MATCH(LARGE(Dashboard!$AI$2:$AI$31,$A9),Dashboard!$AI$2:$AI$31,0),COLUMNS($D9:J9)))&amp;"/"&amp;INDEX(Management!$B$7:$B$36,COLUMNS($D9:J9)))</f>
        <v>1/10</v>
      </c>
      <c r="K9" s="85" t="str" cm="1">
        <f t="array" ref="K9">IF(OR($A9="",COLUMNS($D9:K9)&gt;Management!$C$4),"",N(INDEX(Dashboard!$C$2:$AF$31,MATCH(LARGE(Dashboard!$AI$2:$AI$31,$A9),Dashboard!$AI$2:$AI$31,0),COLUMNS($D9:K9)))&amp;"/"&amp;INDEX(Management!$B$7:$B$36,COLUMNS($D9:K9)))</f>
        <v>14/15</v>
      </c>
      <c r="L9" s="85" t="str" cm="1">
        <f t="array" ref="L9">IF(OR($A9="",COLUMNS($D9:L9)&gt;Management!$C$4),"",N(INDEX(Dashboard!$C$2:$AF$31,MATCH(LARGE(Dashboard!$AI$2:$AI$31,$A9),Dashboard!$AI$2:$AI$31,0),COLUMNS($D9:L9)))&amp;"/"&amp;INDEX(Management!$B$7:$B$36,COLUMNS($D9:L9)))</f>
        <v>8/10</v>
      </c>
      <c r="M9" s="85" t="str" cm="1">
        <f t="array" ref="M9">IF(OR($A9="",COLUMNS($D9:M9)&gt;Management!$C$4),"",N(INDEX(Dashboard!$C$2:$AF$31,MATCH(LARGE(Dashboard!$AI$2:$AI$31,$A9),Dashboard!$AI$2:$AI$31,0),COLUMNS($D9:M9)))&amp;"/"&amp;INDEX(Management!$B$7:$B$36,COLUMNS($D9:M9)))</f>
        <v>4/10</v>
      </c>
      <c r="N9" s="85" t="str" cm="1">
        <f t="array" ref="N9">IF(OR($A9="",COLUMNS($D9:N9)&gt;Management!$C$4),"",N(INDEX(Dashboard!$C$2:$AF$31,MATCH(LARGE(Dashboard!$AI$2:$AI$31,$A9),Dashboard!$AI$2:$AI$31,0),COLUMNS($D9:N9)))&amp;"/"&amp;INDEX(Management!$B$7:$B$36,COLUMNS($D9:N9)))</f>
        <v>2/5</v>
      </c>
      <c r="O9" s="85" t="str" cm="1">
        <f t="array" ref="O9">IF(OR($A9="",COLUMNS($D9:O9)&gt;Management!$C$4),"",N(INDEX(Dashboard!$C$2:$AF$31,MATCH(LARGE(Dashboard!$AI$2:$AI$31,$A9),Dashboard!$AI$2:$AI$31,0),COLUMNS($D9:O9)))&amp;"/"&amp;INDEX(Management!$B$7:$B$36,COLUMNS($D9:O9)))</f>
        <v>4/10</v>
      </c>
      <c r="P9" s="85" t="str" cm="1">
        <f t="array" ref="P9">IF(OR($A9="",COLUMNS($D9:P9)&gt;Management!$C$4),"",N(INDEX(Dashboard!$C$2:$AF$31,MATCH(LARGE(Dashboard!$AI$2:$AI$31,$A9),Dashboard!$AI$2:$AI$31,0),COLUMNS($D9:P9)))&amp;"/"&amp;INDEX(Management!$B$7:$B$36,COLUMNS($D9:P9)))</f>
        <v>4/10</v>
      </c>
      <c r="Q9" s="85" t="str" cm="1">
        <f t="array" ref="Q9">IF(OR($A9="",COLUMNS($D9:Q9)&gt;Management!$C$4),"",N(INDEX(Dashboard!$C$2:$AF$31,MATCH(LARGE(Dashboard!$AI$2:$AI$31,$A9),Dashboard!$AI$2:$AI$31,0),COLUMNS($D9:Q9)))&amp;"/"&amp;INDEX(Management!$B$7:$B$36,COLUMNS($D9:Q9)))</f>
        <v/>
      </c>
      <c r="R9" s="85" t="str" cm="1">
        <f t="array" ref="R9">IF(OR($A9="",COLUMNS($D9:R9)&gt;Management!$C$4),"",N(INDEX(Dashboard!$C$2:$AF$31,MATCH(LARGE(Dashboard!$AI$2:$AI$31,$A9),Dashboard!$AI$2:$AI$31,0),COLUMNS($D9:R9)))&amp;"/"&amp;INDEX(Management!$B$7:$B$36,COLUMNS($D9:R9)))</f>
        <v/>
      </c>
      <c r="S9" s="85" t="str" cm="1">
        <f t="array" ref="S9">IF(OR($A9="",COLUMNS($D9:S9)&gt;Management!$C$4),"",N(INDEX(Dashboard!$C$2:$AF$31,MATCH(LARGE(Dashboard!$AI$2:$AI$31,$A9),Dashboard!$AI$2:$AI$31,0),COLUMNS($D9:S9)))&amp;"/"&amp;INDEX(Management!$B$7:$B$36,COLUMNS($D9:S9)))</f>
        <v/>
      </c>
      <c r="T9" s="85" t="str" cm="1">
        <f t="array" ref="T9">IF(OR($A9="",COLUMNS($D9:T9)&gt;Management!$C$4),"",N(INDEX(Dashboard!$C$2:$AF$31,MATCH(LARGE(Dashboard!$AI$2:$AI$31,$A9),Dashboard!$AI$2:$AI$31,0),COLUMNS($D9:T9)))&amp;"/"&amp;INDEX(Management!$B$7:$B$36,COLUMNS($D9:T9)))</f>
        <v/>
      </c>
      <c r="U9" s="85" t="str" cm="1">
        <f t="array" ref="U9">IF(OR($A9="",COLUMNS($D9:U9)&gt;Management!$C$4),"",N(INDEX(Dashboard!$C$2:$AF$31,MATCH(LARGE(Dashboard!$AI$2:$AI$31,$A9),Dashboard!$AI$2:$AI$31,0),COLUMNS($D9:U9)))&amp;"/"&amp;INDEX(Management!$B$7:$B$36,COLUMNS($D9:U9)))</f>
        <v/>
      </c>
      <c r="V9" s="85" t="str" cm="1">
        <f t="array" ref="V9">IF(OR($A9="",COLUMNS($D9:V9)&gt;Management!$C$4),"",N(INDEX(Dashboard!$C$2:$AF$31,MATCH(LARGE(Dashboard!$AI$2:$AI$31,$A9),Dashboard!$AI$2:$AI$31,0),COLUMNS($D9:V9)))&amp;"/"&amp;INDEX(Management!$B$7:$B$36,COLUMNS($D9:V9)))</f>
        <v/>
      </c>
      <c r="W9" s="85" t="str" cm="1">
        <f t="array" ref="W9">IF(OR($A9="",COLUMNS($D9:W9)&gt;Management!$C$4),"",N(INDEX(Dashboard!$C$2:$AF$31,MATCH(LARGE(Dashboard!$AI$2:$AI$31,$A9),Dashboard!$AI$2:$AI$31,0),COLUMNS($D9:W9)))&amp;"/"&amp;INDEX(Management!$B$7:$B$36,COLUMNS($D9:W9)))</f>
        <v/>
      </c>
      <c r="X9" s="85" t="str" cm="1">
        <f t="array" ref="X9">IF(OR($A9="",COLUMNS($D9:X9)&gt;Management!$C$4),"",N(INDEX(Dashboard!$C$2:$AF$31,MATCH(LARGE(Dashboard!$AI$2:$AI$31,$A9),Dashboard!$AI$2:$AI$31,0),COLUMNS($D9:X9)))&amp;"/"&amp;INDEX(Management!$B$7:$B$36,COLUMNS($D9:X9)))</f>
        <v/>
      </c>
      <c r="Y9" s="85" t="str" cm="1">
        <f t="array" ref="Y9">IF(OR($A9="",COLUMNS($D9:Y9)&gt;Management!$C$4),"",N(INDEX(Dashboard!$C$2:$AF$31,MATCH(LARGE(Dashboard!$AI$2:$AI$31,$A9),Dashboard!$AI$2:$AI$31,0),COLUMNS($D9:Y9)))&amp;"/"&amp;INDEX(Management!$B$7:$B$36,COLUMNS($D9:Y9)))</f>
        <v/>
      </c>
      <c r="Z9" s="85" t="str" cm="1">
        <f t="array" ref="Z9">IF(OR($A9="",COLUMNS($D9:Z9)&gt;Management!$C$4),"",N(INDEX(Dashboard!$C$2:$AF$31,MATCH(LARGE(Dashboard!$AI$2:$AI$31,$A9),Dashboard!$AI$2:$AI$31,0),COLUMNS($D9:Z9)))&amp;"/"&amp;INDEX(Management!$B$7:$B$36,COLUMNS($D9:Z9)))</f>
        <v/>
      </c>
      <c r="AA9" s="85" t="str" cm="1">
        <f t="array" ref="AA9">IF(OR($A9="",COLUMNS($D9:AA9)&gt;Management!$C$4),"",N(INDEX(Dashboard!$C$2:$AF$31,MATCH(LARGE(Dashboard!$AI$2:$AI$31,$A9),Dashboard!$AI$2:$AI$31,0),COLUMNS($D9:AA9)))&amp;"/"&amp;INDEX(Management!$B$7:$B$36,COLUMNS($D9:AA9)))</f>
        <v/>
      </c>
      <c r="AB9" s="85" t="str" cm="1">
        <f t="array" ref="AB9">IF(OR($A9="",COLUMNS($D9:AB9)&gt;Management!$C$4),"",N(INDEX(Dashboard!$C$2:$AF$31,MATCH(LARGE(Dashboard!$AI$2:$AI$31,$A9),Dashboard!$AI$2:$AI$31,0),COLUMNS($D9:AB9)))&amp;"/"&amp;INDEX(Management!$B$7:$B$36,COLUMNS($D9:AB9)))</f>
        <v/>
      </c>
      <c r="AC9" s="85" t="str" cm="1">
        <f t="array" ref="AC9">IF(OR($A9="",COLUMNS($D9:AC9)&gt;Management!$C$4),"",N(INDEX(Dashboard!$C$2:$AF$31,MATCH(LARGE(Dashboard!$AI$2:$AI$31,$A9),Dashboard!$AI$2:$AI$31,0),COLUMNS($D9:AC9)))&amp;"/"&amp;INDEX(Management!$B$7:$B$36,COLUMNS($D9:AC9)))</f>
        <v/>
      </c>
      <c r="AD9" s="85" t="str" cm="1">
        <f t="array" ref="AD9">IF(OR($A9="",COLUMNS($D9:AD9)&gt;Management!$C$4),"",N(INDEX(Dashboard!$C$2:$AF$31,MATCH(LARGE(Dashboard!$AI$2:$AI$31,$A9),Dashboard!$AI$2:$AI$31,0),COLUMNS($D9:AD9)))&amp;"/"&amp;INDEX(Management!$B$7:$B$36,COLUMNS($D9:AD9)))</f>
        <v/>
      </c>
      <c r="AE9" s="85" t="str" cm="1">
        <f t="array" ref="AE9">IF(OR($A9="",COLUMNS($D9:AE9)&gt;Management!$C$4),"",N(INDEX(Dashboard!$C$2:$AF$31,MATCH(LARGE(Dashboard!$AI$2:$AI$31,$A9),Dashboard!$AI$2:$AI$31,0),COLUMNS($D9:AE9)))&amp;"/"&amp;INDEX(Management!$B$7:$B$36,COLUMNS($D9:AE9)))</f>
        <v/>
      </c>
      <c r="AF9" s="85" t="str" cm="1">
        <f t="array" ref="AF9">IF(OR($A9="",COLUMNS($D9:AF9)&gt;Management!$C$4),"",N(INDEX(Dashboard!$C$2:$AF$31,MATCH(LARGE(Dashboard!$AI$2:$AI$31,$A9),Dashboard!$AI$2:$AI$31,0),COLUMNS($D9:AF9)))&amp;"/"&amp;INDEX(Management!$B$7:$B$36,COLUMNS($D9:AF9)))</f>
        <v/>
      </c>
      <c r="AG9" s="86" t="str" cm="1">
        <f t="array" ref="AG9">IF(OR($A9="",COLUMNS($D9:AG9)&gt;Management!$C$4),"",N(INDEX(Dashboard!$C$2:$AF$31,MATCH(LARGE(Dashboard!$AI$2:$AI$31,$A9),Dashboard!$AI$2:$AI$31,0),COLUMNS($D9:AG9)))&amp;"/"&amp;INDEX(Management!$B$7:$B$36,COLUMNS($D9:AG9)))</f>
        <v/>
      </c>
    </row>
    <row r="10" spans="1:33" ht="24" customHeight="1" x14ac:dyDescent="0.45">
      <c r="A10" s="81">
        <f>IF(ROWS($A$2:A10)&gt;COUNTA(Management!$F$7:$F$36),"",ROWS($A$2:A10))</f>
        <v>9</v>
      </c>
      <c r="B10" s="95" t="str">
        <f>IF($A10="","",INDEX(Dashboard!$A$2:$A$31,MATCH(LARGE(Dashboard!$AI$2:$AI$31,$A10),Dashboard!$AI$2:$AI$31,0)))</f>
        <v>Kaaskoppen United</v>
      </c>
      <c r="C10" s="110" t="str">
        <f>IF($A10="","",INDEX(Dashboard!$AG$2:$AG$31,MATCH(LARGE(Dashboard!$AI$2:$AI$31,$A10),Dashboard!$AI$2:$AI$31,0))&amp;" / "&amp;INDEX(Dashboard!$AH$2:$AH$31,MATCH(LARGE(Dashboard!$AI$2:$AI$31,$A10),Dashboard!$AI$2:$AI$31,0)))</f>
        <v>77 / 140</v>
      </c>
      <c r="D10" s="102" t="str" cm="1">
        <f t="array" ref="D10">IF(OR($A10="",COLUMNS($D10:D10)&gt;Management!$C$4),"",N(INDEX(Dashboard!$C$2:$AF$31,MATCH(LARGE(Dashboard!$AI$2:$AI$31,$A10),Dashboard!$AI$2:$AI$31,0),COLUMNS($D10:D10)))&amp;"/"&amp;INDEX(Management!$B$7:$B$36,COLUMNS($D10:D10)))</f>
        <v>2/10</v>
      </c>
      <c r="E10" s="82" t="str" cm="1">
        <f t="array" ref="E10">IF(OR($A10="",COLUMNS($D10:E10)&gt;Management!$C$4),"",N(INDEX(Dashboard!$C$2:$AF$31,MATCH(LARGE(Dashboard!$AI$2:$AI$31,$A10),Dashboard!$AI$2:$AI$31,0),COLUMNS($D10:E10)))&amp;"/"&amp;INDEX(Management!$B$7:$B$36,COLUMNS($D10:E10)))</f>
        <v>10/10</v>
      </c>
      <c r="F10" s="82" t="str" cm="1">
        <f t="array" ref="F10">IF(OR($A10="",COLUMNS($D10:F10)&gt;Management!$C$4),"",N(INDEX(Dashboard!$C$2:$AF$31,MATCH(LARGE(Dashboard!$AI$2:$AI$31,$A10),Dashboard!$AI$2:$AI$31,0),COLUMNS($D10:F10)))&amp;"/"&amp;INDEX(Management!$B$7:$B$36,COLUMNS($D10:F10)))</f>
        <v>4/10</v>
      </c>
      <c r="G10" s="82" t="str" cm="1">
        <f t="array" ref="G10">IF(OR($A10="",COLUMNS($D10:G10)&gt;Management!$C$4),"",N(INDEX(Dashboard!$C$2:$AF$31,MATCH(LARGE(Dashboard!$AI$2:$AI$31,$A10),Dashboard!$AI$2:$AI$31,0),COLUMNS($D10:G10)))&amp;"/"&amp;INDEX(Management!$B$7:$B$36,COLUMNS($D10:G10)))</f>
        <v>17/20</v>
      </c>
      <c r="H10" s="82" t="str" cm="1">
        <f t="array" ref="H10">IF(OR($A10="",COLUMNS($D10:H10)&gt;Management!$C$4),"",N(INDEX(Dashboard!$C$2:$AF$31,MATCH(LARGE(Dashboard!$AI$2:$AI$31,$A10),Dashboard!$AI$2:$AI$31,0),COLUMNS($D10:H10)))&amp;"/"&amp;INDEX(Management!$B$7:$B$36,COLUMNS($D10:H10)))</f>
        <v>0/10</v>
      </c>
      <c r="I10" s="82" t="str" cm="1">
        <f t="array" ref="I10">IF(OR($A10="",COLUMNS($D10:I10)&gt;Management!$C$4),"",N(INDEX(Dashboard!$C$2:$AF$31,MATCH(LARGE(Dashboard!$AI$2:$AI$31,$A10),Dashboard!$AI$2:$AI$31,0),COLUMNS($D10:I10)))&amp;"/"&amp;INDEX(Management!$B$7:$B$36,COLUMNS($D10:I10)))</f>
        <v>10/10</v>
      </c>
      <c r="J10" s="82" t="str" cm="1">
        <f t="array" ref="J10">IF(OR($A10="",COLUMNS($D10:J10)&gt;Management!$C$4),"",N(INDEX(Dashboard!$C$2:$AF$31,MATCH(LARGE(Dashboard!$AI$2:$AI$31,$A10),Dashboard!$AI$2:$AI$31,0),COLUMNS($D10:J10)))&amp;"/"&amp;INDEX(Management!$B$7:$B$36,COLUMNS($D10:J10)))</f>
        <v>4/10</v>
      </c>
      <c r="K10" s="82" t="str" cm="1">
        <f t="array" ref="K10">IF(OR($A10="",COLUMNS($D10:K10)&gt;Management!$C$4),"",N(INDEX(Dashboard!$C$2:$AF$31,MATCH(LARGE(Dashboard!$AI$2:$AI$31,$A10),Dashboard!$AI$2:$AI$31,0),COLUMNS($D10:K10)))&amp;"/"&amp;INDEX(Management!$B$7:$B$36,COLUMNS($D10:K10)))</f>
        <v>12/15</v>
      </c>
      <c r="L10" s="82" t="str" cm="1">
        <f t="array" ref="L10">IF(OR($A10="",COLUMNS($D10:L10)&gt;Management!$C$4),"",N(INDEX(Dashboard!$C$2:$AF$31,MATCH(LARGE(Dashboard!$AI$2:$AI$31,$A10),Dashboard!$AI$2:$AI$31,0),COLUMNS($D10:L10)))&amp;"/"&amp;INDEX(Management!$B$7:$B$36,COLUMNS($D10:L10)))</f>
        <v>4/10</v>
      </c>
      <c r="M10" s="82" t="str" cm="1">
        <f t="array" ref="M10">IF(OR($A10="",COLUMNS($D10:M10)&gt;Management!$C$4),"",N(INDEX(Dashboard!$C$2:$AF$31,MATCH(LARGE(Dashboard!$AI$2:$AI$31,$A10),Dashboard!$AI$2:$AI$31,0),COLUMNS($D10:M10)))&amp;"/"&amp;INDEX(Management!$B$7:$B$36,COLUMNS($D10:M10)))</f>
        <v>4/10</v>
      </c>
      <c r="N10" s="82" t="str" cm="1">
        <f t="array" ref="N10">IF(OR($A10="",COLUMNS($D10:N10)&gt;Management!$C$4),"",N(INDEX(Dashboard!$C$2:$AF$31,MATCH(LARGE(Dashboard!$AI$2:$AI$31,$A10),Dashboard!$AI$2:$AI$31,0),COLUMNS($D10:N10)))&amp;"/"&amp;INDEX(Management!$B$7:$B$36,COLUMNS($D10:N10)))</f>
        <v>2/5</v>
      </c>
      <c r="O10" s="82" t="str" cm="1">
        <f t="array" ref="O10">IF(OR($A10="",COLUMNS($D10:O10)&gt;Management!$C$4),"",N(INDEX(Dashboard!$C$2:$AF$31,MATCH(LARGE(Dashboard!$AI$2:$AI$31,$A10),Dashboard!$AI$2:$AI$31,0),COLUMNS($D10:O10)))&amp;"/"&amp;INDEX(Management!$B$7:$B$36,COLUMNS($D10:O10)))</f>
        <v>4/10</v>
      </c>
      <c r="P10" s="82" t="str" cm="1">
        <f t="array" ref="P10">IF(OR($A10="",COLUMNS($D10:P10)&gt;Management!$C$4),"",N(INDEX(Dashboard!$C$2:$AF$31,MATCH(LARGE(Dashboard!$AI$2:$AI$31,$A10),Dashboard!$AI$2:$AI$31,0),COLUMNS($D10:P10)))&amp;"/"&amp;INDEX(Management!$B$7:$B$36,COLUMNS($D10:P10)))</f>
        <v>4/10</v>
      </c>
      <c r="Q10" s="82" t="str" cm="1">
        <f t="array" ref="Q10">IF(OR($A10="",COLUMNS($D10:Q10)&gt;Management!$C$4),"",N(INDEX(Dashboard!$C$2:$AF$31,MATCH(LARGE(Dashboard!$AI$2:$AI$31,$A10),Dashboard!$AI$2:$AI$31,0),COLUMNS($D10:Q10)))&amp;"/"&amp;INDEX(Management!$B$7:$B$36,COLUMNS($D10:Q10)))</f>
        <v/>
      </c>
      <c r="R10" s="82" t="str" cm="1">
        <f t="array" ref="R10">IF(OR($A10="",COLUMNS($D10:R10)&gt;Management!$C$4),"",N(INDEX(Dashboard!$C$2:$AF$31,MATCH(LARGE(Dashboard!$AI$2:$AI$31,$A10),Dashboard!$AI$2:$AI$31,0),COLUMNS($D10:R10)))&amp;"/"&amp;INDEX(Management!$B$7:$B$36,COLUMNS($D10:R10)))</f>
        <v/>
      </c>
      <c r="S10" s="82" t="str" cm="1">
        <f t="array" ref="S10">IF(OR($A10="",COLUMNS($D10:S10)&gt;Management!$C$4),"",N(INDEX(Dashboard!$C$2:$AF$31,MATCH(LARGE(Dashboard!$AI$2:$AI$31,$A10),Dashboard!$AI$2:$AI$31,0),COLUMNS($D10:S10)))&amp;"/"&amp;INDEX(Management!$B$7:$B$36,COLUMNS($D10:S10)))</f>
        <v/>
      </c>
      <c r="T10" s="82" t="str" cm="1">
        <f t="array" ref="T10">IF(OR($A10="",COLUMNS($D10:T10)&gt;Management!$C$4),"",N(INDEX(Dashboard!$C$2:$AF$31,MATCH(LARGE(Dashboard!$AI$2:$AI$31,$A10),Dashboard!$AI$2:$AI$31,0),COLUMNS($D10:T10)))&amp;"/"&amp;INDEX(Management!$B$7:$B$36,COLUMNS($D10:T10)))</f>
        <v/>
      </c>
      <c r="U10" s="82" t="str" cm="1">
        <f t="array" ref="U10">IF(OR($A10="",COLUMNS($D10:U10)&gt;Management!$C$4),"",N(INDEX(Dashboard!$C$2:$AF$31,MATCH(LARGE(Dashboard!$AI$2:$AI$31,$A10),Dashboard!$AI$2:$AI$31,0),COLUMNS($D10:U10)))&amp;"/"&amp;INDEX(Management!$B$7:$B$36,COLUMNS($D10:U10)))</f>
        <v/>
      </c>
      <c r="V10" s="82" t="str" cm="1">
        <f t="array" ref="V10">IF(OR($A10="",COLUMNS($D10:V10)&gt;Management!$C$4),"",N(INDEX(Dashboard!$C$2:$AF$31,MATCH(LARGE(Dashboard!$AI$2:$AI$31,$A10),Dashboard!$AI$2:$AI$31,0),COLUMNS($D10:V10)))&amp;"/"&amp;INDEX(Management!$B$7:$B$36,COLUMNS($D10:V10)))</f>
        <v/>
      </c>
      <c r="W10" s="82" t="str" cm="1">
        <f t="array" ref="W10">IF(OR($A10="",COLUMNS($D10:W10)&gt;Management!$C$4),"",N(INDEX(Dashboard!$C$2:$AF$31,MATCH(LARGE(Dashboard!$AI$2:$AI$31,$A10),Dashboard!$AI$2:$AI$31,0),COLUMNS($D10:W10)))&amp;"/"&amp;INDEX(Management!$B$7:$B$36,COLUMNS($D10:W10)))</f>
        <v/>
      </c>
      <c r="X10" s="82" t="str" cm="1">
        <f t="array" ref="X10">IF(OR($A10="",COLUMNS($D10:X10)&gt;Management!$C$4),"",N(INDEX(Dashboard!$C$2:$AF$31,MATCH(LARGE(Dashboard!$AI$2:$AI$31,$A10),Dashboard!$AI$2:$AI$31,0),COLUMNS($D10:X10)))&amp;"/"&amp;INDEX(Management!$B$7:$B$36,COLUMNS($D10:X10)))</f>
        <v/>
      </c>
      <c r="Y10" s="82" t="str" cm="1">
        <f t="array" ref="Y10">IF(OR($A10="",COLUMNS($D10:Y10)&gt;Management!$C$4),"",N(INDEX(Dashboard!$C$2:$AF$31,MATCH(LARGE(Dashboard!$AI$2:$AI$31,$A10),Dashboard!$AI$2:$AI$31,0),COLUMNS($D10:Y10)))&amp;"/"&amp;INDEX(Management!$B$7:$B$36,COLUMNS($D10:Y10)))</f>
        <v/>
      </c>
      <c r="Z10" s="82" t="str" cm="1">
        <f t="array" ref="Z10">IF(OR($A10="",COLUMNS($D10:Z10)&gt;Management!$C$4),"",N(INDEX(Dashboard!$C$2:$AF$31,MATCH(LARGE(Dashboard!$AI$2:$AI$31,$A10),Dashboard!$AI$2:$AI$31,0),COLUMNS($D10:Z10)))&amp;"/"&amp;INDEX(Management!$B$7:$B$36,COLUMNS($D10:Z10)))</f>
        <v/>
      </c>
      <c r="AA10" s="82" t="str" cm="1">
        <f t="array" ref="AA10">IF(OR($A10="",COLUMNS($D10:AA10)&gt;Management!$C$4),"",N(INDEX(Dashboard!$C$2:$AF$31,MATCH(LARGE(Dashboard!$AI$2:$AI$31,$A10),Dashboard!$AI$2:$AI$31,0),COLUMNS($D10:AA10)))&amp;"/"&amp;INDEX(Management!$B$7:$B$36,COLUMNS($D10:AA10)))</f>
        <v/>
      </c>
      <c r="AB10" s="82" t="str" cm="1">
        <f t="array" ref="AB10">IF(OR($A10="",COLUMNS($D10:AB10)&gt;Management!$C$4),"",N(INDEX(Dashboard!$C$2:$AF$31,MATCH(LARGE(Dashboard!$AI$2:$AI$31,$A10),Dashboard!$AI$2:$AI$31,0),COLUMNS($D10:AB10)))&amp;"/"&amp;INDEX(Management!$B$7:$B$36,COLUMNS($D10:AB10)))</f>
        <v/>
      </c>
      <c r="AC10" s="82" t="str" cm="1">
        <f t="array" ref="AC10">IF(OR($A10="",COLUMNS($D10:AC10)&gt;Management!$C$4),"",N(INDEX(Dashboard!$C$2:$AF$31,MATCH(LARGE(Dashboard!$AI$2:$AI$31,$A10),Dashboard!$AI$2:$AI$31,0),COLUMNS($D10:AC10)))&amp;"/"&amp;INDEX(Management!$B$7:$B$36,COLUMNS($D10:AC10)))</f>
        <v/>
      </c>
      <c r="AD10" s="82" t="str" cm="1">
        <f t="array" ref="AD10">IF(OR($A10="",COLUMNS($D10:AD10)&gt;Management!$C$4),"",N(INDEX(Dashboard!$C$2:$AF$31,MATCH(LARGE(Dashboard!$AI$2:$AI$31,$A10),Dashboard!$AI$2:$AI$31,0),COLUMNS($D10:AD10)))&amp;"/"&amp;INDEX(Management!$B$7:$B$36,COLUMNS($D10:AD10)))</f>
        <v/>
      </c>
      <c r="AE10" s="82" t="str" cm="1">
        <f t="array" ref="AE10">IF(OR($A10="",COLUMNS($D10:AE10)&gt;Management!$C$4),"",N(INDEX(Dashboard!$C$2:$AF$31,MATCH(LARGE(Dashboard!$AI$2:$AI$31,$A10),Dashboard!$AI$2:$AI$31,0),COLUMNS($D10:AE10)))&amp;"/"&amp;INDEX(Management!$B$7:$B$36,COLUMNS($D10:AE10)))</f>
        <v/>
      </c>
      <c r="AF10" s="82" t="str" cm="1">
        <f t="array" ref="AF10">IF(OR($A10="",COLUMNS($D10:AF10)&gt;Management!$C$4),"",N(INDEX(Dashboard!$C$2:$AF$31,MATCH(LARGE(Dashboard!$AI$2:$AI$31,$A10),Dashboard!$AI$2:$AI$31,0),COLUMNS($D10:AF10)))&amp;"/"&amp;INDEX(Management!$B$7:$B$36,COLUMNS($D10:AF10)))</f>
        <v/>
      </c>
      <c r="AG10" s="83" t="str" cm="1">
        <f t="array" ref="AG10">IF(OR($A10="",COLUMNS($D10:AG10)&gt;Management!$C$4),"",N(INDEX(Dashboard!$C$2:$AF$31,MATCH(LARGE(Dashboard!$AI$2:$AI$31,$A10),Dashboard!$AI$2:$AI$31,0),COLUMNS($D10:AG10)))&amp;"/"&amp;INDEX(Management!$B$7:$B$36,COLUMNS($D10:AG10)))</f>
        <v/>
      </c>
    </row>
    <row r="11" spans="1:33" ht="24" customHeight="1" x14ac:dyDescent="0.45">
      <c r="A11" s="84">
        <f>IF(ROWS($A$2:A11)&gt;COUNTA(Management!$F$7:$F$36),"",ROWS($A$2:A11))</f>
        <v>10</v>
      </c>
      <c r="B11" s="96" t="str">
        <f>IF($A11="","",INDEX(Dashboard!$A$2:$A$31,MATCH(LARGE(Dashboard!$AI$2:$AI$31,$A11),Dashboard!$AI$2:$AI$31,0)))</f>
        <v>Team20</v>
      </c>
      <c r="C11" s="110" t="str">
        <f>IF($A11="","",INDEX(Dashboard!$AG$2:$AG$31,MATCH(LARGE(Dashboard!$AI$2:$AI$31,$A11),Dashboard!$AI$2:$AI$31,0))&amp;" / "&amp;INDEX(Dashboard!$AH$2:$AH$31,MATCH(LARGE(Dashboard!$AI$2:$AI$31,$A11),Dashboard!$AI$2:$AI$31,0)))</f>
        <v>77 / 140</v>
      </c>
      <c r="D11" s="103" t="str" cm="1">
        <f t="array" ref="D11">IF(OR($A11="",COLUMNS($D11:D11)&gt;Management!$C$4),"",N(INDEX(Dashboard!$C$2:$AF$31,MATCH(LARGE(Dashboard!$AI$2:$AI$31,$A11),Dashboard!$AI$2:$AI$31,0),COLUMNS($D11:D11)))&amp;"/"&amp;INDEX(Management!$B$7:$B$36,COLUMNS($D11:D11)))</f>
        <v>2/10</v>
      </c>
      <c r="E11" s="85" t="str" cm="1">
        <f t="array" ref="E11">IF(OR($A11="",COLUMNS($D11:E11)&gt;Management!$C$4),"",N(INDEX(Dashboard!$C$2:$AF$31,MATCH(LARGE(Dashboard!$AI$2:$AI$31,$A11),Dashboard!$AI$2:$AI$31,0),COLUMNS($D11:E11)))&amp;"/"&amp;INDEX(Management!$B$7:$B$36,COLUMNS($D11:E11)))</f>
        <v>10/10</v>
      </c>
      <c r="F11" s="85" t="str" cm="1">
        <f t="array" ref="F11">IF(OR($A11="",COLUMNS($D11:F11)&gt;Management!$C$4),"",N(INDEX(Dashboard!$C$2:$AF$31,MATCH(LARGE(Dashboard!$AI$2:$AI$31,$A11),Dashboard!$AI$2:$AI$31,0),COLUMNS($D11:F11)))&amp;"/"&amp;INDEX(Management!$B$7:$B$36,COLUMNS($D11:F11)))</f>
        <v>4/10</v>
      </c>
      <c r="G11" s="85" t="str" cm="1">
        <f t="array" ref="G11">IF(OR($A11="",COLUMNS($D11:G11)&gt;Management!$C$4),"",N(INDEX(Dashboard!$C$2:$AF$31,MATCH(LARGE(Dashboard!$AI$2:$AI$31,$A11),Dashboard!$AI$2:$AI$31,0),COLUMNS($D11:G11)))&amp;"/"&amp;INDEX(Management!$B$7:$B$36,COLUMNS($D11:G11)))</f>
        <v>17/20</v>
      </c>
      <c r="H11" s="85" t="str" cm="1">
        <f t="array" ref="H11">IF(OR($A11="",COLUMNS($D11:H11)&gt;Management!$C$4),"",N(INDEX(Dashboard!$C$2:$AF$31,MATCH(LARGE(Dashboard!$AI$2:$AI$31,$A11),Dashboard!$AI$2:$AI$31,0),COLUMNS($D11:H11)))&amp;"/"&amp;INDEX(Management!$B$7:$B$36,COLUMNS($D11:H11)))</f>
        <v>0/10</v>
      </c>
      <c r="I11" s="85" t="str" cm="1">
        <f t="array" ref="I11">IF(OR($A11="",COLUMNS($D11:I11)&gt;Management!$C$4),"",N(INDEX(Dashboard!$C$2:$AF$31,MATCH(LARGE(Dashboard!$AI$2:$AI$31,$A11),Dashboard!$AI$2:$AI$31,0),COLUMNS($D11:I11)))&amp;"/"&amp;INDEX(Management!$B$7:$B$36,COLUMNS($D11:I11)))</f>
        <v>10/10</v>
      </c>
      <c r="J11" s="85" t="str" cm="1">
        <f t="array" ref="J11">IF(OR($A11="",COLUMNS($D11:J11)&gt;Management!$C$4),"",N(INDEX(Dashboard!$C$2:$AF$31,MATCH(LARGE(Dashboard!$AI$2:$AI$31,$A11),Dashboard!$AI$2:$AI$31,0),COLUMNS($D11:J11)))&amp;"/"&amp;INDEX(Management!$B$7:$B$36,COLUMNS($D11:J11)))</f>
        <v>4/10</v>
      </c>
      <c r="K11" s="85" t="str" cm="1">
        <f t="array" ref="K11">IF(OR($A11="",COLUMNS($D11:K11)&gt;Management!$C$4),"",N(INDEX(Dashboard!$C$2:$AF$31,MATCH(LARGE(Dashboard!$AI$2:$AI$31,$A11),Dashboard!$AI$2:$AI$31,0),COLUMNS($D11:K11)))&amp;"/"&amp;INDEX(Management!$B$7:$B$36,COLUMNS($D11:K11)))</f>
        <v>12/15</v>
      </c>
      <c r="L11" s="85" t="str" cm="1">
        <f t="array" ref="L11">IF(OR($A11="",COLUMNS($D11:L11)&gt;Management!$C$4),"",N(INDEX(Dashboard!$C$2:$AF$31,MATCH(LARGE(Dashboard!$AI$2:$AI$31,$A11),Dashboard!$AI$2:$AI$31,0),COLUMNS($D11:L11)))&amp;"/"&amp;INDEX(Management!$B$7:$B$36,COLUMNS($D11:L11)))</f>
        <v>4/10</v>
      </c>
      <c r="M11" s="85" t="str" cm="1">
        <f t="array" ref="M11">IF(OR($A11="",COLUMNS($D11:M11)&gt;Management!$C$4),"",N(INDEX(Dashboard!$C$2:$AF$31,MATCH(LARGE(Dashboard!$AI$2:$AI$31,$A11),Dashboard!$AI$2:$AI$31,0),COLUMNS($D11:M11)))&amp;"/"&amp;INDEX(Management!$B$7:$B$36,COLUMNS($D11:M11)))</f>
        <v>4/10</v>
      </c>
      <c r="N11" s="85" t="str" cm="1">
        <f t="array" ref="N11">IF(OR($A11="",COLUMNS($D11:N11)&gt;Management!$C$4),"",N(INDEX(Dashboard!$C$2:$AF$31,MATCH(LARGE(Dashboard!$AI$2:$AI$31,$A11),Dashboard!$AI$2:$AI$31,0),COLUMNS($D11:N11)))&amp;"/"&amp;INDEX(Management!$B$7:$B$36,COLUMNS($D11:N11)))</f>
        <v>2/5</v>
      </c>
      <c r="O11" s="85" t="str" cm="1">
        <f t="array" ref="O11">IF(OR($A11="",COLUMNS($D11:O11)&gt;Management!$C$4),"",N(INDEX(Dashboard!$C$2:$AF$31,MATCH(LARGE(Dashboard!$AI$2:$AI$31,$A11),Dashboard!$AI$2:$AI$31,0),COLUMNS($D11:O11)))&amp;"/"&amp;INDEX(Management!$B$7:$B$36,COLUMNS($D11:O11)))</f>
        <v>4/10</v>
      </c>
      <c r="P11" s="85" t="str" cm="1">
        <f t="array" ref="P11">IF(OR($A11="",COLUMNS($D11:P11)&gt;Management!$C$4),"",N(INDEX(Dashboard!$C$2:$AF$31,MATCH(LARGE(Dashboard!$AI$2:$AI$31,$A11),Dashboard!$AI$2:$AI$31,0),COLUMNS($D11:P11)))&amp;"/"&amp;INDEX(Management!$B$7:$B$36,COLUMNS($D11:P11)))</f>
        <v>4/10</v>
      </c>
      <c r="Q11" s="85" t="str" cm="1">
        <f t="array" ref="Q11">IF(OR($A11="",COLUMNS($D11:Q11)&gt;Management!$C$4),"",N(INDEX(Dashboard!$C$2:$AF$31,MATCH(LARGE(Dashboard!$AI$2:$AI$31,$A11),Dashboard!$AI$2:$AI$31,0),COLUMNS($D11:Q11)))&amp;"/"&amp;INDEX(Management!$B$7:$B$36,COLUMNS($D11:Q11)))</f>
        <v/>
      </c>
      <c r="R11" s="85" t="str" cm="1">
        <f t="array" ref="R11">IF(OR($A11="",COLUMNS($D11:R11)&gt;Management!$C$4),"",N(INDEX(Dashboard!$C$2:$AF$31,MATCH(LARGE(Dashboard!$AI$2:$AI$31,$A11),Dashboard!$AI$2:$AI$31,0),COLUMNS($D11:R11)))&amp;"/"&amp;INDEX(Management!$B$7:$B$36,COLUMNS($D11:R11)))</f>
        <v/>
      </c>
      <c r="S11" s="85" t="str" cm="1">
        <f t="array" ref="S11">IF(OR($A11="",COLUMNS($D11:S11)&gt;Management!$C$4),"",N(INDEX(Dashboard!$C$2:$AF$31,MATCH(LARGE(Dashboard!$AI$2:$AI$31,$A11),Dashboard!$AI$2:$AI$31,0),COLUMNS($D11:S11)))&amp;"/"&amp;INDEX(Management!$B$7:$B$36,COLUMNS($D11:S11)))</f>
        <v/>
      </c>
      <c r="T11" s="85" t="str" cm="1">
        <f t="array" ref="T11">IF(OR($A11="",COLUMNS($D11:T11)&gt;Management!$C$4),"",N(INDEX(Dashboard!$C$2:$AF$31,MATCH(LARGE(Dashboard!$AI$2:$AI$31,$A11),Dashboard!$AI$2:$AI$31,0),COLUMNS($D11:T11)))&amp;"/"&amp;INDEX(Management!$B$7:$B$36,COLUMNS($D11:T11)))</f>
        <v/>
      </c>
      <c r="U11" s="85" t="str" cm="1">
        <f t="array" ref="U11">IF(OR($A11="",COLUMNS($D11:U11)&gt;Management!$C$4),"",N(INDEX(Dashboard!$C$2:$AF$31,MATCH(LARGE(Dashboard!$AI$2:$AI$31,$A11),Dashboard!$AI$2:$AI$31,0),COLUMNS($D11:U11)))&amp;"/"&amp;INDEX(Management!$B$7:$B$36,COLUMNS($D11:U11)))</f>
        <v/>
      </c>
      <c r="V11" s="85" t="str" cm="1">
        <f t="array" ref="V11">IF(OR($A11="",COLUMNS($D11:V11)&gt;Management!$C$4),"",N(INDEX(Dashboard!$C$2:$AF$31,MATCH(LARGE(Dashboard!$AI$2:$AI$31,$A11),Dashboard!$AI$2:$AI$31,0),COLUMNS($D11:V11)))&amp;"/"&amp;INDEX(Management!$B$7:$B$36,COLUMNS($D11:V11)))</f>
        <v/>
      </c>
      <c r="W11" s="85" t="str" cm="1">
        <f t="array" ref="W11">IF(OR($A11="",COLUMNS($D11:W11)&gt;Management!$C$4),"",N(INDEX(Dashboard!$C$2:$AF$31,MATCH(LARGE(Dashboard!$AI$2:$AI$31,$A11),Dashboard!$AI$2:$AI$31,0),COLUMNS($D11:W11)))&amp;"/"&amp;INDEX(Management!$B$7:$B$36,COLUMNS($D11:W11)))</f>
        <v/>
      </c>
      <c r="X11" s="85" t="str" cm="1">
        <f t="array" ref="X11">IF(OR($A11="",COLUMNS($D11:X11)&gt;Management!$C$4),"",N(INDEX(Dashboard!$C$2:$AF$31,MATCH(LARGE(Dashboard!$AI$2:$AI$31,$A11),Dashboard!$AI$2:$AI$31,0),COLUMNS($D11:X11)))&amp;"/"&amp;INDEX(Management!$B$7:$B$36,COLUMNS($D11:X11)))</f>
        <v/>
      </c>
      <c r="Y11" s="85" t="str" cm="1">
        <f t="array" ref="Y11">IF(OR($A11="",COLUMNS($D11:Y11)&gt;Management!$C$4),"",N(INDEX(Dashboard!$C$2:$AF$31,MATCH(LARGE(Dashboard!$AI$2:$AI$31,$A11),Dashboard!$AI$2:$AI$31,0),COLUMNS($D11:Y11)))&amp;"/"&amp;INDEX(Management!$B$7:$B$36,COLUMNS($D11:Y11)))</f>
        <v/>
      </c>
      <c r="Z11" s="85" t="str" cm="1">
        <f t="array" ref="Z11">IF(OR($A11="",COLUMNS($D11:Z11)&gt;Management!$C$4),"",N(INDEX(Dashboard!$C$2:$AF$31,MATCH(LARGE(Dashboard!$AI$2:$AI$31,$A11),Dashboard!$AI$2:$AI$31,0),COLUMNS($D11:Z11)))&amp;"/"&amp;INDEX(Management!$B$7:$B$36,COLUMNS($D11:Z11)))</f>
        <v/>
      </c>
      <c r="AA11" s="85" t="str" cm="1">
        <f t="array" ref="AA11">IF(OR($A11="",COLUMNS($D11:AA11)&gt;Management!$C$4),"",N(INDEX(Dashboard!$C$2:$AF$31,MATCH(LARGE(Dashboard!$AI$2:$AI$31,$A11),Dashboard!$AI$2:$AI$31,0),COLUMNS($D11:AA11)))&amp;"/"&amp;INDEX(Management!$B$7:$B$36,COLUMNS($D11:AA11)))</f>
        <v/>
      </c>
      <c r="AB11" s="85" t="str" cm="1">
        <f t="array" ref="AB11">IF(OR($A11="",COLUMNS($D11:AB11)&gt;Management!$C$4),"",N(INDEX(Dashboard!$C$2:$AF$31,MATCH(LARGE(Dashboard!$AI$2:$AI$31,$A11),Dashboard!$AI$2:$AI$31,0),COLUMNS($D11:AB11)))&amp;"/"&amp;INDEX(Management!$B$7:$B$36,COLUMNS($D11:AB11)))</f>
        <v/>
      </c>
      <c r="AC11" s="85" t="str" cm="1">
        <f t="array" ref="AC11">IF(OR($A11="",COLUMNS($D11:AC11)&gt;Management!$C$4),"",N(INDEX(Dashboard!$C$2:$AF$31,MATCH(LARGE(Dashboard!$AI$2:$AI$31,$A11),Dashboard!$AI$2:$AI$31,0),COLUMNS($D11:AC11)))&amp;"/"&amp;INDEX(Management!$B$7:$B$36,COLUMNS($D11:AC11)))</f>
        <v/>
      </c>
      <c r="AD11" s="85" t="str" cm="1">
        <f t="array" ref="AD11">IF(OR($A11="",COLUMNS($D11:AD11)&gt;Management!$C$4),"",N(INDEX(Dashboard!$C$2:$AF$31,MATCH(LARGE(Dashboard!$AI$2:$AI$31,$A11),Dashboard!$AI$2:$AI$31,0),COLUMNS($D11:AD11)))&amp;"/"&amp;INDEX(Management!$B$7:$B$36,COLUMNS($D11:AD11)))</f>
        <v/>
      </c>
      <c r="AE11" s="85" t="str" cm="1">
        <f t="array" ref="AE11">IF(OR($A11="",COLUMNS($D11:AE11)&gt;Management!$C$4),"",N(INDEX(Dashboard!$C$2:$AF$31,MATCH(LARGE(Dashboard!$AI$2:$AI$31,$A11),Dashboard!$AI$2:$AI$31,0),COLUMNS($D11:AE11)))&amp;"/"&amp;INDEX(Management!$B$7:$B$36,COLUMNS($D11:AE11)))</f>
        <v/>
      </c>
      <c r="AF11" s="85" t="str" cm="1">
        <f t="array" ref="AF11">IF(OR($A11="",COLUMNS($D11:AF11)&gt;Management!$C$4),"",N(INDEX(Dashboard!$C$2:$AF$31,MATCH(LARGE(Dashboard!$AI$2:$AI$31,$A11),Dashboard!$AI$2:$AI$31,0),COLUMNS($D11:AF11)))&amp;"/"&amp;INDEX(Management!$B$7:$B$36,COLUMNS($D11:AF11)))</f>
        <v/>
      </c>
      <c r="AG11" s="86" t="str" cm="1">
        <f t="array" ref="AG11">IF(OR($A11="",COLUMNS($D11:AG11)&gt;Management!$C$4),"",N(INDEX(Dashboard!$C$2:$AF$31,MATCH(LARGE(Dashboard!$AI$2:$AI$31,$A11),Dashboard!$AI$2:$AI$31,0),COLUMNS($D11:AG11)))&amp;"/"&amp;INDEX(Management!$B$7:$B$36,COLUMNS($D11:AG11)))</f>
        <v/>
      </c>
    </row>
    <row r="12" spans="1:33" ht="24" customHeight="1" x14ac:dyDescent="0.45">
      <c r="A12" s="81">
        <f>IF(ROWS($A$2:A12)&gt;COUNTA(Management!$F$7:$F$36),"",ROWS($A$2:A12))</f>
        <v>11</v>
      </c>
      <c r="B12" s="95" t="str">
        <f>IF($A12="","",INDEX(Dashboard!$A$2:$A$31,MATCH(LARGE(Dashboard!$AI$2:$AI$31,$A12),Dashboard!$AI$2:$AI$31,0)))</f>
        <v>Team24</v>
      </c>
      <c r="C12" s="110" t="str">
        <f>IF($A12="","",INDEX(Dashboard!$AG$2:$AG$31,MATCH(LARGE(Dashboard!$AI$2:$AI$31,$A12),Dashboard!$AI$2:$AI$31,0))&amp;" / "&amp;INDEX(Dashboard!$AH$2:$AH$31,MATCH(LARGE(Dashboard!$AI$2:$AI$31,$A12),Dashboard!$AI$2:$AI$31,0)))</f>
        <v>76 / 140</v>
      </c>
      <c r="D12" s="102" t="str" cm="1">
        <f t="array" ref="D12">IF(OR($A12="",COLUMNS($D12:D12)&gt;Management!$C$4),"",N(INDEX(Dashboard!$C$2:$AF$31,MATCH(LARGE(Dashboard!$AI$2:$AI$31,$A12),Dashboard!$AI$2:$AI$31,0),COLUMNS($D12:D12)))&amp;"/"&amp;INDEX(Management!$B$7:$B$36,COLUMNS($D12:D12)))</f>
        <v>8/10</v>
      </c>
      <c r="E12" s="82" t="str" cm="1">
        <f t="array" ref="E12">IF(OR($A12="",COLUMNS($D12:E12)&gt;Management!$C$4),"",N(INDEX(Dashboard!$C$2:$AF$31,MATCH(LARGE(Dashboard!$AI$2:$AI$31,$A12),Dashboard!$AI$2:$AI$31,0),COLUMNS($D12:E12)))&amp;"/"&amp;INDEX(Management!$B$7:$B$36,COLUMNS($D12:E12)))</f>
        <v>8/10</v>
      </c>
      <c r="F12" s="82" t="str" cm="1">
        <f t="array" ref="F12">IF(OR($A12="",COLUMNS($D12:F12)&gt;Management!$C$4),"",N(INDEX(Dashboard!$C$2:$AF$31,MATCH(LARGE(Dashboard!$AI$2:$AI$31,$A12),Dashboard!$AI$2:$AI$31,0),COLUMNS($D12:F12)))&amp;"/"&amp;INDEX(Management!$B$7:$B$36,COLUMNS($D12:F12)))</f>
        <v>9/10</v>
      </c>
      <c r="G12" s="82" t="str" cm="1">
        <f t="array" ref="G12">IF(OR($A12="",COLUMNS($D12:G12)&gt;Management!$C$4),"",N(INDEX(Dashboard!$C$2:$AF$31,MATCH(LARGE(Dashboard!$AI$2:$AI$31,$A12),Dashboard!$AI$2:$AI$31,0),COLUMNS($D12:G12)))&amp;"/"&amp;INDEX(Management!$B$7:$B$36,COLUMNS($D12:G12)))</f>
        <v>20/20</v>
      </c>
      <c r="H12" s="82" t="str" cm="1">
        <f t="array" ref="H12">IF(OR($A12="",COLUMNS($D12:H12)&gt;Management!$C$4),"",N(INDEX(Dashboard!$C$2:$AF$31,MATCH(LARGE(Dashboard!$AI$2:$AI$31,$A12),Dashboard!$AI$2:$AI$31,0),COLUMNS($D12:H12)))&amp;"/"&amp;INDEX(Management!$B$7:$B$36,COLUMNS($D12:H12)))</f>
        <v>3/10</v>
      </c>
      <c r="I12" s="82" t="str" cm="1">
        <f t="array" ref="I12">IF(OR($A12="",COLUMNS($D12:I12)&gt;Management!$C$4),"",N(INDEX(Dashboard!$C$2:$AF$31,MATCH(LARGE(Dashboard!$AI$2:$AI$31,$A12),Dashboard!$AI$2:$AI$31,0),COLUMNS($D12:I12)))&amp;"/"&amp;INDEX(Management!$B$7:$B$36,COLUMNS($D12:I12)))</f>
        <v>4/10</v>
      </c>
      <c r="J12" s="82" t="str" cm="1">
        <f t="array" ref="J12">IF(OR($A12="",COLUMNS($D12:J12)&gt;Management!$C$4),"",N(INDEX(Dashboard!$C$2:$AF$31,MATCH(LARGE(Dashboard!$AI$2:$AI$31,$A12),Dashboard!$AI$2:$AI$31,0),COLUMNS($D12:J12)))&amp;"/"&amp;INDEX(Management!$B$7:$B$36,COLUMNS($D12:J12)))</f>
        <v>4/10</v>
      </c>
      <c r="K12" s="82" t="str" cm="1">
        <f t="array" ref="K12">IF(OR($A12="",COLUMNS($D12:K12)&gt;Management!$C$4),"",N(INDEX(Dashboard!$C$2:$AF$31,MATCH(LARGE(Dashboard!$AI$2:$AI$31,$A12),Dashboard!$AI$2:$AI$31,0),COLUMNS($D12:K12)))&amp;"/"&amp;INDEX(Management!$B$7:$B$36,COLUMNS($D12:K12)))</f>
        <v>4/15</v>
      </c>
      <c r="L12" s="82" t="str" cm="1">
        <f t="array" ref="L12">IF(OR($A12="",COLUMNS($D12:L12)&gt;Management!$C$4),"",N(INDEX(Dashboard!$C$2:$AF$31,MATCH(LARGE(Dashboard!$AI$2:$AI$31,$A12),Dashboard!$AI$2:$AI$31,0),COLUMNS($D12:L12)))&amp;"/"&amp;INDEX(Management!$B$7:$B$36,COLUMNS($D12:L12)))</f>
        <v>4/10</v>
      </c>
      <c r="M12" s="82" t="str" cm="1">
        <f t="array" ref="M12">IF(OR($A12="",COLUMNS($D12:M12)&gt;Management!$C$4),"",N(INDEX(Dashboard!$C$2:$AF$31,MATCH(LARGE(Dashboard!$AI$2:$AI$31,$A12),Dashboard!$AI$2:$AI$31,0),COLUMNS($D12:M12)))&amp;"/"&amp;INDEX(Management!$B$7:$B$36,COLUMNS($D12:M12)))</f>
        <v>4/10</v>
      </c>
      <c r="N12" s="82" t="str" cm="1">
        <f t="array" ref="N12">IF(OR($A12="",COLUMNS($D12:N12)&gt;Management!$C$4),"",N(INDEX(Dashboard!$C$2:$AF$31,MATCH(LARGE(Dashboard!$AI$2:$AI$31,$A12),Dashboard!$AI$2:$AI$31,0),COLUMNS($D12:N12)))&amp;"/"&amp;INDEX(Management!$B$7:$B$36,COLUMNS($D12:N12)))</f>
        <v>0/5</v>
      </c>
      <c r="O12" s="82" t="str" cm="1">
        <f t="array" ref="O12">IF(OR($A12="",COLUMNS($D12:O12)&gt;Management!$C$4),"",N(INDEX(Dashboard!$C$2:$AF$31,MATCH(LARGE(Dashboard!$AI$2:$AI$31,$A12),Dashboard!$AI$2:$AI$31,0),COLUMNS($D12:O12)))&amp;"/"&amp;INDEX(Management!$B$7:$B$36,COLUMNS($D12:O12)))</f>
        <v>4/10</v>
      </c>
      <c r="P12" s="82" t="str" cm="1">
        <f t="array" ref="P12">IF(OR($A12="",COLUMNS($D12:P12)&gt;Management!$C$4),"",N(INDEX(Dashboard!$C$2:$AF$31,MATCH(LARGE(Dashboard!$AI$2:$AI$31,$A12),Dashboard!$AI$2:$AI$31,0),COLUMNS($D12:P12)))&amp;"/"&amp;INDEX(Management!$B$7:$B$36,COLUMNS($D12:P12)))</f>
        <v>4/10</v>
      </c>
      <c r="Q12" s="82" t="str" cm="1">
        <f t="array" ref="Q12">IF(OR($A12="",COLUMNS($D12:Q12)&gt;Management!$C$4),"",N(INDEX(Dashboard!$C$2:$AF$31,MATCH(LARGE(Dashboard!$AI$2:$AI$31,$A12),Dashboard!$AI$2:$AI$31,0),COLUMNS($D12:Q12)))&amp;"/"&amp;INDEX(Management!$B$7:$B$36,COLUMNS($D12:Q12)))</f>
        <v/>
      </c>
      <c r="R12" s="82" t="str" cm="1">
        <f t="array" ref="R12">IF(OR($A12="",COLUMNS($D12:R12)&gt;Management!$C$4),"",N(INDEX(Dashboard!$C$2:$AF$31,MATCH(LARGE(Dashboard!$AI$2:$AI$31,$A12),Dashboard!$AI$2:$AI$31,0),COLUMNS($D12:R12)))&amp;"/"&amp;INDEX(Management!$B$7:$B$36,COLUMNS($D12:R12)))</f>
        <v/>
      </c>
      <c r="S12" s="82" t="str" cm="1">
        <f t="array" ref="S12">IF(OR($A12="",COLUMNS($D12:S12)&gt;Management!$C$4),"",N(INDEX(Dashboard!$C$2:$AF$31,MATCH(LARGE(Dashboard!$AI$2:$AI$31,$A12),Dashboard!$AI$2:$AI$31,0),COLUMNS($D12:S12)))&amp;"/"&amp;INDEX(Management!$B$7:$B$36,COLUMNS($D12:S12)))</f>
        <v/>
      </c>
      <c r="T12" s="82" t="str" cm="1">
        <f t="array" ref="T12">IF(OR($A12="",COLUMNS($D12:T12)&gt;Management!$C$4),"",N(INDEX(Dashboard!$C$2:$AF$31,MATCH(LARGE(Dashboard!$AI$2:$AI$31,$A12),Dashboard!$AI$2:$AI$31,0),COLUMNS($D12:T12)))&amp;"/"&amp;INDEX(Management!$B$7:$B$36,COLUMNS($D12:T12)))</f>
        <v/>
      </c>
      <c r="U12" s="82" t="str" cm="1">
        <f t="array" ref="U12">IF(OR($A12="",COLUMNS($D12:U12)&gt;Management!$C$4),"",N(INDEX(Dashboard!$C$2:$AF$31,MATCH(LARGE(Dashboard!$AI$2:$AI$31,$A12),Dashboard!$AI$2:$AI$31,0),COLUMNS($D12:U12)))&amp;"/"&amp;INDEX(Management!$B$7:$B$36,COLUMNS($D12:U12)))</f>
        <v/>
      </c>
      <c r="V12" s="82" t="str" cm="1">
        <f t="array" ref="V12">IF(OR($A12="",COLUMNS($D12:V12)&gt;Management!$C$4),"",N(INDEX(Dashboard!$C$2:$AF$31,MATCH(LARGE(Dashboard!$AI$2:$AI$31,$A12),Dashboard!$AI$2:$AI$31,0),COLUMNS($D12:V12)))&amp;"/"&amp;INDEX(Management!$B$7:$B$36,COLUMNS($D12:V12)))</f>
        <v/>
      </c>
      <c r="W12" s="82" t="str" cm="1">
        <f t="array" ref="W12">IF(OR($A12="",COLUMNS($D12:W12)&gt;Management!$C$4),"",N(INDEX(Dashboard!$C$2:$AF$31,MATCH(LARGE(Dashboard!$AI$2:$AI$31,$A12),Dashboard!$AI$2:$AI$31,0),COLUMNS($D12:W12)))&amp;"/"&amp;INDEX(Management!$B$7:$B$36,COLUMNS($D12:W12)))</f>
        <v/>
      </c>
      <c r="X12" s="82" t="str" cm="1">
        <f t="array" ref="X12">IF(OR($A12="",COLUMNS($D12:X12)&gt;Management!$C$4),"",N(INDEX(Dashboard!$C$2:$AF$31,MATCH(LARGE(Dashboard!$AI$2:$AI$31,$A12),Dashboard!$AI$2:$AI$31,0),COLUMNS($D12:X12)))&amp;"/"&amp;INDEX(Management!$B$7:$B$36,COLUMNS($D12:X12)))</f>
        <v/>
      </c>
      <c r="Y12" s="82" t="str" cm="1">
        <f t="array" ref="Y12">IF(OR($A12="",COLUMNS($D12:Y12)&gt;Management!$C$4),"",N(INDEX(Dashboard!$C$2:$AF$31,MATCH(LARGE(Dashboard!$AI$2:$AI$31,$A12),Dashboard!$AI$2:$AI$31,0),COLUMNS($D12:Y12)))&amp;"/"&amp;INDEX(Management!$B$7:$B$36,COLUMNS($D12:Y12)))</f>
        <v/>
      </c>
      <c r="Z12" s="82" t="str" cm="1">
        <f t="array" ref="Z12">IF(OR($A12="",COLUMNS($D12:Z12)&gt;Management!$C$4),"",N(INDEX(Dashboard!$C$2:$AF$31,MATCH(LARGE(Dashboard!$AI$2:$AI$31,$A12),Dashboard!$AI$2:$AI$31,0),COLUMNS($D12:Z12)))&amp;"/"&amp;INDEX(Management!$B$7:$B$36,COLUMNS($D12:Z12)))</f>
        <v/>
      </c>
      <c r="AA12" s="82" t="str" cm="1">
        <f t="array" ref="AA12">IF(OR($A12="",COLUMNS($D12:AA12)&gt;Management!$C$4),"",N(INDEX(Dashboard!$C$2:$AF$31,MATCH(LARGE(Dashboard!$AI$2:$AI$31,$A12),Dashboard!$AI$2:$AI$31,0),COLUMNS($D12:AA12)))&amp;"/"&amp;INDEX(Management!$B$7:$B$36,COLUMNS($D12:AA12)))</f>
        <v/>
      </c>
      <c r="AB12" s="82" t="str" cm="1">
        <f t="array" ref="AB12">IF(OR($A12="",COLUMNS($D12:AB12)&gt;Management!$C$4),"",N(INDEX(Dashboard!$C$2:$AF$31,MATCH(LARGE(Dashboard!$AI$2:$AI$31,$A12),Dashboard!$AI$2:$AI$31,0),COLUMNS($D12:AB12)))&amp;"/"&amp;INDEX(Management!$B$7:$B$36,COLUMNS($D12:AB12)))</f>
        <v/>
      </c>
      <c r="AC12" s="82" t="str" cm="1">
        <f t="array" ref="AC12">IF(OR($A12="",COLUMNS($D12:AC12)&gt;Management!$C$4),"",N(INDEX(Dashboard!$C$2:$AF$31,MATCH(LARGE(Dashboard!$AI$2:$AI$31,$A12),Dashboard!$AI$2:$AI$31,0),COLUMNS($D12:AC12)))&amp;"/"&amp;INDEX(Management!$B$7:$B$36,COLUMNS($D12:AC12)))</f>
        <v/>
      </c>
      <c r="AD12" s="82" t="str" cm="1">
        <f t="array" ref="AD12">IF(OR($A12="",COLUMNS($D12:AD12)&gt;Management!$C$4),"",N(INDEX(Dashboard!$C$2:$AF$31,MATCH(LARGE(Dashboard!$AI$2:$AI$31,$A12),Dashboard!$AI$2:$AI$31,0),COLUMNS($D12:AD12)))&amp;"/"&amp;INDEX(Management!$B$7:$B$36,COLUMNS($D12:AD12)))</f>
        <v/>
      </c>
      <c r="AE12" s="82" t="str" cm="1">
        <f t="array" ref="AE12">IF(OR($A12="",COLUMNS($D12:AE12)&gt;Management!$C$4),"",N(INDEX(Dashboard!$C$2:$AF$31,MATCH(LARGE(Dashboard!$AI$2:$AI$31,$A12),Dashboard!$AI$2:$AI$31,0),COLUMNS($D12:AE12)))&amp;"/"&amp;INDEX(Management!$B$7:$B$36,COLUMNS($D12:AE12)))</f>
        <v/>
      </c>
      <c r="AF12" s="82" t="str" cm="1">
        <f t="array" ref="AF12">IF(OR($A12="",COLUMNS($D12:AF12)&gt;Management!$C$4),"",N(INDEX(Dashboard!$C$2:$AF$31,MATCH(LARGE(Dashboard!$AI$2:$AI$31,$A12),Dashboard!$AI$2:$AI$31,0),COLUMNS($D12:AF12)))&amp;"/"&amp;INDEX(Management!$B$7:$B$36,COLUMNS($D12:AF12)))</f>
        <v/>
      </c>
      <c r="AG12" s="83" t="str" cm="1">
        <f t="array" ref="AG12">IF(OR($A12="",COLUMNS($D12:AG12)&gt;Management!$C$4),"",N(INDEX(Dashboard!$C$2:$AF$31,MATCH(LARGE(Dashboard!$AI$2:$AI$31,$A12),Dashboard!$AI$2:$AI$31,0),COLUMNS($D12:AG12)))&amp;"/"&amp;INDEX(Management!$B$7:$B$36,COLUMNS($D12:AG12)))</f>
        <v/>
      </c>
    </row>
    <row r="13" spans="1:33" ht="24" customHeight="1" x14ac:dyDescent="0.45">
      <c r="A13" s="84">
        <f>IF(ROWS($A$2:A13)&gt;COUNTA(Management!$F$7:$F$36),"",ROWS($A$2:A13))</f>
        <v>12</v>
      </c>
      <c r="B13" s="96" t="str">
        <f>IF($A13="","",INDEX(Dashboard!$A$2:$A$31,MATCH(LARGE(Dashboard!$AI$2:$AI$31,$A13),Dashboard!$AI$2:$AI$31,0)))</f>
        <v>De Pittige Pepernoten</v>
      </c>
      <c r="C13" s="110" t="str">
        <f>IF($A13="","",INDEX(Dashboard!$AG$2:$AG$31,MATCH(LARGE(Dashboard!$AI$2:$AI$31,$A13),Dashboard!$AI$2:$AI$31,0))&amp;" / "&amp;INDEX(Dashboard!$AH$2:$AH$31,MATCH(LARGE(Dashboard!$AI$2:$AI$31,$A13),Dashboard!$AI$2:$AI$31,0)))</f>
        <v>74 / 140</v>
      </c>
      <c r="D13" s="103" t="str" cm="1">
        <f t="array" ref="D13">IF(OR($A13="",COLUMNS($D13:D13)&gt;Management!$C$4),"",N(INDEX(Dashboard!$C$2:$AF$31,MATCH(LARGE(Dashboard!$AI$2:$AI$31,$A13),Dashboard!$AI$2:$AI$31,0),COLUMNS($D13:D13)))&amp;"/"&amp;INDEX(Management!$B$7:$B$36,COLUMNS($D13:D13)))</f>
        <v>4/10</v>
      </c>
      <c r="E13" s="85" t="str" cm="1">
        <f t="array" ref="E13">IF(OR($A13="",COLUMNS($D13:E13)&gt;Management!$C$4),"",N(INDEX(Dashboard!$C$2:$AF$31,MATCH(LARGE(Dashboard!$AI$2:$AI$31,$A13),Dashboard!$AI$2:$AI$31,0),COLUMNS($D13:E13)))&amp;"/"&amp;INDEX(Management!$B$7:$B$36,COLUMNS($D13:E13)))</f>
        <v>6/10</v>
      </c>
      <c r="F13" s="85" t="str" cm="1">
        <f t="array" ref="F13">IF(OR($A13="",COLUMNS($D13:F13)&gt;Management!$C$4),"",N(INDEX(Dashboard!$C$2:$AF$31,MATCH(LARGE(Dashboard!$AI$2:$AI$31,$A13),Dashboard!$AI$2:$AI$31,0),COLUMNS($D13:F13)))&amp;"/"&amp;INDEX(Management!$B$7:$B$36,COLUMNS($D13:F13)))</f>
        <v>4/10</v>
      </c>
      <c r="G13" s="85" t="str" cm="1">
        <f t="array" ref="G13">IF(OR($A13="",COLUMNS($D13:G13)&gt;Management!$C$4),"",N(INDEX(Dashboard!$C$2:$AF$31,MATCH(LARGE(Dashboard!$AI$2:$AI$31,$A13),Dashboard!$AI$2:$AI$31,0),COLUMNS($D13:G13)))&amp;"/"&amp;INDEX(Management!$B$7:$B$36,COLUMNS($D13:G13)))</f>
        <v>15/20</v>
      </c>
      <c r="H13" s="85" t="str" cm="1">
        <f t="array" ref="H13">IF(OR($A13="",COLUMNS($D13:H13)&gt;Management!$C$4),"",N(INDEX(Dashboard!$C$2:$AF$31,MATCH(LARGE(Dashboard!$AI$2:$AI$31,$A13),Dashboard!$AI$2:$AI$31,0),COLUMNS($D13:H13)))&amp;"/"&amp;INDEX(Management!$B$7:$B$36,COLUMNS($D13:H13)))</f>
        <v>2/10</v>
      </c>
      <c r="I13" s="85" t="str" cm="1">
        <f t="array" ref="I13">IF(OR($A13="",COLUMNS($D13:I13)&gt;Management!$C$4),"",N(INDEX(Dashboard!$C$2:$AF$31,MATCH(LARGE(Dashboard!$AI$2:$AI$31,$A13),Dashboard!$AI$2:$AI$31,0),COLUMNS($D13:I13)))&amp;"/"&amp;INDEX(Management!$B$7:$B$36,COLUMNS($D13:I13)))</f>
        <v>4/10</v>
      </c>
      <c r="J13" s="85" t="str" cm="1">
        <f t="array" ref="J13">IF(OR($A13="",COLUMNS($D13:J13)&gt;Management!$C$4),"",N(INDEX(Dashboard!$C$2:$AF$31,MATCH(LARGE(Dashboard!$AI$2:$AI$31,$A13),Dashboard!$AI$2:$AI$31,0),COLUMNS($D13:J13)))&amp;"/"&amp;INDEX(Management!$B$7:$B$36,COLUMNS($D13:J13)))</f>
        <v>6/10</v>
      </c>
      <c r="K13" s="85" t="str" cm="1">
        <f t="array" ref="K13">IF(OR($A13="",COLUMNS($D13:K13)&gt;Management!$C$4),"",N(INDEX(Dashboard!$C$2:$AF$31,MATCH(LARGE(Dashboard!$AI$2:$AI$31,$A13),Dashboard!$AI$2:$AI$31,0),COLUMNS($D13:K13)))&amp;"/"&amp;INDEX(Management!$B$7:$B$36,COLUMNS($D13:K13)))</f>
        <v>9/15</v>
      </c>
      <c r="L13" s="85" t="str" cm="1">
        <f t="array" ref="L13">IF(OR($A13="",COLUMNS($D13:L13)&gt;Management!$C$4),"",N(INDEX(Dashboard!$C$2:$AF$31,MATCH(LARGE(Dashboard!$AI$2:$AI$31,$A13),Dashboard!$AI$2:$AI$31,0),COLUMNS($D13:L13)))&amp;"/"&amp;INDEX(Management!$B$7:$B$36,COLUMNS($D13:L13)))</f>
        <v>6/10</v>
      </c>
      <c r="M13" s="85" t="str" cm="1">
        <f t="array" ref="M13">IF(OR($A13="",COLUMNS($D13:M13)&gt;Management!$C$4),"",N(INDEX(Dashboard!$C$2:$AF$31,MATCH(LARGE(Dashboard!$AI$2:$AI$31,$A13),Dashboard!$AI$2:$AI$31,0),COLUMNS($D13:M13)))&amp;"/"&amp;INDEX(Management!$B$7:$B$36,COLUMNS($D13:M13)))</f>
        <v>6/10</v>
      </c>
      <c r="N13" s="85" t="str" cm="1">
        <f t="array" ref="N13">IF(OR($A13="",COLUMNS($D13:N13)&gt;Management!$C$4),"",N(INDEX(Dashboard!$C$2:$AF$31,MATCH(LARGE(Dashboard!$AI$2:$AI$31,$A13),Dashboard!$AI$2:$AI$31,0),COLUMNS($D13:N13)))&amp;"/"&amp;INDEX(Management!$B$7:$B$36,COLUMNS($D13:N13)))</f>
        <v>0/5</v>
      </c>
      <c r="O13" s="85" t="str" cm="1">
        <f t="array" ref="O13">IF(OR($A13="",COLUMNS($D13:O13)&gt;Management!$C$4),"",N(INDEX(Dashboard!$C$2:$AF$31,MATCH(LARGE(Dashboard!$AI$2:$AI$31,$A13),Dashboard!$AI$2:$AI$31,0),COLUMNS($D13:O13)))&amp;"/"&amp;INDEX(Management!$B$7:$B$36,COLUMNS($D13:O13)))</f>
        <v>6/10</v>
      </c>
      <c r="P13" s="85" t="str" cm="1">
        <f t="array" ref="P13">IF(OR($A13="",COLUMNS($D13:P13)&gt;Management!$C$4),"",N(INDEX(Dashboard!$C$2:$AF$31,MATCH(LARGE(Dashboard!$AI$2:$AI$31,$A13),Dashboard!$AI$2:$AI$31,0),COLUMNS($D13:P13)))&amp;"/"&amp;INDEX(Management!$B$7:$B$36,COLUMNS($D13:P13)))</f>
        <v>6/10</v>
      </c>
      <c r="Q13" s="85" t="str" cm="1">
        <f t="array" ref="Q13">IF(OR($A13="",COLUMNS($D13:Q13)&gt;Management!$C$4),"",N(INDEX(Dashboard!$C$2:$AF$31,MATCH(LARGE(Dashboard!$AI$2:$AI$31,$A13),Dashboard!$AI$2:$AI$31,0),COLUMNS($D13:Q13)))&amp;"/"&amp;INDEX(Management!$B$7:$B$36,COLUMNS($D13:Q13)))</f>
        <v/>
      </c>
      <c r="R13" s="85" t="str" cm="1">
        <f t="array" ref="R13">IF(OR($A13="",COLUMNS($D13:R13)&gt;Management!$C$4),"",N(INDEX(Dashboard!$C$2:$AF$31,MATCH(LARGE(Dashboard!$AI$2:$AI$31,$A13),Dashboard!$AI$2:$AI$31,0),COLUMNS($D13:R13)))&amp;"/"&amp;INDEX(Management!$B$7:$B$36,COLUMNS($D13:R13)))</f>
        <v/>
      </c>
      <c r="S13" s="85" t="str" cm="1">
        <f t="array" ref="S13">IF(OR($A13="",COLUMNS($D13:S13)&gt;Management!$C$4),"",N(INDEX(Dashboard!$C$2:$AF$31,MATCH(LARGE(Dashboard!$AI$2:$AI$31,$A13),Dashboard!$AI$2:$AI$31,0),COLUMNS($D13:S13)))&amp;"/"&amp;INDEX(Management!$B$7:$B$36,COLUMNS($D13:S13)))</f>
        <v/>
      </c>
      <c r="T13" s="85" t="str" cm="1">
        <f t="array" ref="T13">IF(OR($A13="",COLUMNS($D13:T13)&gt;Management!$C$4),"",N(INDEX(Dashboard!$C$2:$AF$31,MATCH(LARGE(Dashboard!$AI$2:$AI$31,$A13),Dashboard!$AI$2:$AI$31,0),COLUMNS($D13:T13)))&amp;"/"&amp;INDEX(Management!$B$7:$B$36,COLUMNS($D13:T13)))</f>
        <v/>
      </c>
      <c r="U13" s="85" t="str" cm="1">
        <f t="array" ref="U13">IF(OR($A13="",COLUMNS($D13:U13)&gt;Management!$C$4),"",N(INDEX(Dashboard!$C$2:$AF$31,MATCH(LARGE(Dashboard!$AI$2:$AI$31,$A13),Dashboard!$AI$2:$AI$31,0),COLUMNS($D13:U13)))&amp;"/"&amp;INDEX(Management!$B$7:$B$36,COLUMNS($D13:U13)))</f>
        <v/>
      </c>
      <c r="V13" s="85" t="str" cm="1">
        <f t="array" ref="V13">IF(OR($A13="",COLUMNS($D13:V13)&gt;Management!$C$4),"",N(INDEX(Dashboard!$C$2:$AF$31,MATCH(LARGE(Dashboard!$AI$2:$AI$31,$A13),Dashboard!$AI$2:$AI$31,0),COLUMNS($D13:V13)))&amp;"/"&amp;INDEX(Management!$B$7:$B$36,COLUMNS($D13:V13)))</f>
        <v/>
      </c>
      <c r="W13" s="85" t="str" cm="1">
        <f t="array" ref="W13">IF(OR($A13="",COLUMNS($D13:W13)&gt;Management!$C$4),"",N(INDEX(Dashboard!$C$2:$AF$31,MATCH(LARGE(Dashboard!$AI$2:$AI$31,$A13),Dashboard!$AI$2:$AI$31,0),COLUMNS($D13:W13)))&amp;"/"&amp;INDEX(Management!$B$7:$B$36,COLUMNS($D13:W13)))</f>
        <v/>
      </c>
      <c r="X13" s="85" t="str" cm="1">
        <f t="array" ref="X13">IF(OR($A13="",COLUMNS($D13:X13)&gt;Management!$C$4),"",N(INDEX(Dashboard!$C$2:$AF$31,MATCH(LARGE(Dashboard!$AI$2:$AI$31,$A13),Dashboard!$AI$2:$AI$31,0),COLUMNS($D13:X13)))&amp;"/"&amp;INDEX(Management!$B$7:$B$36,COLUMNS($D13:X13)))</f>
        <v/>
      </c>
      <c r="Y13" s="85" t="str" cm="1">
        <f t="array" ref="Y13">IF(OR($A13="",COLUMNS($D13:Y13)&gt;Management!$C$4),"",N(INDEX(Dashboard!$C$2:$AF$31,MATCH(LARGE(Dashboard!$AI$2:$AI$31,$A13),Dashboard!$AI$2:$AI$31,0),COLUMNS($D13:Y13)))&amp;"/"&amp;INDEX(Management!$B$7:$B$36,COLUMNS($D13:Y13)))</f>
        <v/>
      </c>
      <c r="Z13" s="85" t="str" cm="1">
        <f t="array" ref="Z13">IF(OR($A13="",COLUMNS($D13:Z13)&gt;Management!$C$4),"",N(INDEX(Dashboard!$C$2:$AF$31,MATCH(LARGE(Dashboard!$AI$2:$AI$31,$A13),Dashboard!$AI$2:$AI$31,0),COLUMNS($D13:Z13)))&amp;"/"&amp;INDEX(Management!$B$7:$B$36,COLUMNS($D13:Z13)))</f>
        <v/>
      </c>
      <c r="AA13" s="85" t="str" cm="1">
        <f t="array" ref="AA13">IF(OR($A13="",COLUMNS($D13:AA13)&gt;Management!$C$4),"",N(INDEX(Dashboard!$C$2:$AF$31,MATCH(LARGE(Dashboard!$AI$2:$AI$31,$A13),Dashboard!$AI$2:$AI$31,0),COLUMNS($D13:AA13)))&amp;"/"&amp;INDEX(Management!$B$7:$B$36,COLUMNS($D13:AA13)))</f>
        <v/>
      </c>
      <c r="AB13" s="85" t="str" cm="1">
        <f t="array" ref="AB13">IF(OR($A13="",COLUMNS($D13:AB13)&gt;Management!$C$4),"",N(INDEX(Dashboard!$C$2:$AF$31,MATCH(LARGE(Dashboard!$AI$2:$AI$31,$A13),Dashboard!$AI$2:$AI$31,0),COLUMNS($D13:AB13)))&amp;"/"&amp;INDEX(Management!$B$7:$B$36,COLUMNS($D13:AB13)))</f>
        <v/>
      </c>
      <c r="AC13" s="85" t="str" cm="1">
        <f t="array" ref="AC13">IF(OR($A13="",COLUMNS($D13:AC13)&gt;Management!$C$4),"",N(INDEX(Dashboard!$C$2:$AF$31,MATCH(LARGE(Dashboard!$AI$2:$AI$31,$A13),Dashboard!$AI$2:$AI$31,0),COLUMNS($D13:AC13)))&amp;"/"&amp;INDEX(Management!$B$7:$B$36,COLUMNS($D13:AC13)))</f>
        <v/>
      </c>
      <c r="AD13" s="85" t="str" cm="1">
        <f t="array" ref="AD13">IF(OR($A13="",COLUMNS($D13:AD13)&gt;Management!$C$4),"",N(INDEX(Dashboard!$C$2:$AF$31,MATCH(LARGE(Dashboard!$AI$2:$AI$31,$A13),Dashboard!$AI$2:$AI$31,0),COLUMNS($D13:AD13)))&amp;"/"&amp;INDEX(Management!$B$7:$B$36,COLUMNS($D13:AD13)))</f>
        <v/>
      </c>
      <c r="AE13" s="85" t="str" cm="1">
        <f t="array" ref="AE13">IF(OR($A13="",COLUMNS($D13:AE13)&gt;Management!$C$4),"",N(INDEX(Dashboard!$C$2:$AF$31,MATCH(LARGE(Dashboard!$AI$2:$AI$31,$A13),Dashboard!$AI$2:$AI$31,0),COLUMNS($D13:AE13)))&amp;"/"&amp;INDEX(Management!$B$7:$B$36,COLUMNS($D13:AE13)))</f>
        <v/>
      </c>
      <c r="AF13" s="85" t="str" cm="1">
        <f t="array" ref="AF13">IF(OR($A13="",COLUMNS($D13:AF13)&gt;Management!$C$4),"",N(INDEX(Dashboard!$C$2:$AF$31,MATCH(LARGE(Dashboard!$AI$2:$AI$31,$A13),Dashboard!$AI$2:$AI$31,0),COLUMNS($D13:AF13)))&amp;"/"&amp;INDEX(Management!$B$7:$B$36,COLUMNS($D13:AF13)))</f>
        <v/>
      </c>
      <c r="AG13" s="86" t="str" cm="1">
        <f t="array" ref="AG13">IF(OR($A13="",COLUMNS($D13:AG13)&gt;Management!$C$4),"",N(INDEX(Dashboard!$C$2:$AF$31,MATCH(LARGE(Dashboard!$AI$2:$AI$31,$A13),Dashboard!$AI$2:$AI$31,0),COLUMNS($D13:AG13)))&amp;"/"&amp;INDEX(Management!$B$7:$B$36,COLUMNS($D13:AG13)))</f>
        <v/>
      </c>
    </row>
    <row r="14" spans="1:33" ht="24" customHeight="1" x14ac:dyDescent="0.45">
      <c r="A14" s="81">
        <f>IF(ROWS($A$2:A14)&gt;COUNTA(Management!$F$7:$F$36),"",ROWS($A$2:A14))</f>
        <v>13</v>
      </c>
      <c r="B14" s="95" t="str">
        <f>IF($A14="","",INDEX(Dashboard!$A$2:$A$31,MATCH(LARGE(Dashboard!$AI$2:$AI$31,$A14),Dashboard!$AI$2:$AI$31,0)))</f>
        <v>Fietsende Frikandellen</v>
      </c>
      <c r="C14" s="110" t="str">
        <f>IF($A14="","",INDEX(Dashboard!$AG$2:$AG$31,MATCH(LARGE(Dashboard!$AI$2:$AI$31,$A14),Dashboard!$AI$2:$AI$31,0))&amp;" / "&amp;INDEX(Dashboard!$AH$2:$AH$31,MATCH(LARGE(Dashboard!$AI$2:$AI$31,$A14),Dashboard!$AI$2:$AI$31,0)))</f>
        <v>74 / 140</v>
      </c>
      <c r="D14" s="102" t="str" cm="1">
        <f t="array" ref="D14">IF(OR($A14="",COLUMNS($D14:D14)&gt;Management!$C$4),"",N(INDEX(Dashboard!$C$2:$AF$31,MATCH(LARGE(Dashboard!$AI$2:$AI$31,$A14),Dashboard!$AI$2:$AI$31,0),COLUMNS($D14:D14)))&amp;"/"&amp;INDEX(Management!$B$7:$B$36,COLUMNS($D14:D14)))</f>
        <v>8/10</v>
      </c>
      <c r="E14" s="82" t="str" cm="1">
        <f t="array" ref="E14">IF(OR($A14="",COLUMNS($D14:E14)&gt;Management!$C$4),"",N(INDEX(Dashboard!$C$2:$AF$31,MATCH(LARGE(Dashboard!$AI$2:$AI$31,$A14),Dashboard!$AI$2:$AI$31,0),COLUMNS($D14:E14)))&amp;"/"&amp;INDEX(Management!$B$7:$B$36,COLUMNS($D14:E14)))</f>
        <v>8/10</v>
      </c>
      <c r="F14" s="82" t="str" cm="1">
        <f t="array" ref="F14">IF(OR($A14="",COLUMNS($D14:F14)&gt;Management!$C$4),"",N(INDEX(Dashboard!$C$2:$AF$31,MATCH(LARGE(Dashboard!$AI$2:$AI$31,$A14),Dashboard!$AI$2:$AI$31,0),COLUMNS($D14:F14)))&amp;"/"&amp;INDEX(Management!$B$7:$B$36,COLUMNS($D14:F14)))</f>
        <v>9/10</v>
      </c>
      <c r="G14" s="82" t="str" cm="1">
        <f t="array" ref="G14">IF(OR($A14="",COLUMNS($D14:G14)&gt;Management!$C$4),"",N(INDEX(Dashboard!$C$2:$AF$31,MATCH(LARGE(Dashboard!$AI$2:$AI$31,$A14),Dashboard!$AI$2:$AI$31,0),COLUMNS($D14:G14)))&amp;"/"&amp;INDEX(Management!$B$7:$B$36,COLUMNS($D14:G14)))</f>
        <v>18/20</v>
      </c>
      <c r="H14" s="82" t="str" cm="1">
        <f t="array" ref="H14">IF(OR($A14="",COLUMNS($D14:H14)&gt;Management!$C$4),"",N(INDEX(Dashboard!$C$2:$AF$31,MATCH(LARGE(Dashboard!$AI$2:$AI$31,$A14),Dashboard!$AI$2:$AI$31,0),COLUMNS($D14:H14)))&amp;"/"&amp;INDEX(Management!$B$7:$B$36,COLUMNS($D14:H14)))</f>
        <v>3/10</v>
      </c>
      <c r="I14" s="82" t="str" cm="1">
        <f t="array" ref="I14">IF(OR($A14="",COLUMNS($D14:I14)&gt;Management!$C$4),"",N(INDEX(Dashboard!$C$2:$AF$31,MATCH(LARGE(Dashboard!$AI$2:$AI$31,$A14),Dashboard!$AI$2:$AI$31,0),COLUMNS($D14:I14)))&amp;"/"&amp;INDEX(Management!$B$7:$B$36,COLUMNS($D14:I14)))</f>
        <v>4/10</v>
      </c>
      <c r="J14" s="82" t="str" cm="1">
        <f t="array" ref="J14">IF(OR($A14="",COLUMNS($D14:J14)&gt;Management!$C$4),"",N(INDEX(Dashboard!$C$2:$AF$31,MATCH(LARGE(Dashboard!$AI$2:$AI$31,$A14),Dashboard!$AI$2:$AI$31,0),COLUMNS($D14:J14)))&amp;"/"&amp;INDEX(Management!$B$7:$B$36,COLUMNS($D14:J14)))</f>
        <v>4/10</v>
      </c>
      <c r="K14" s="82" t="str" cm="1">
        <f t="array" ref="K14">IF(OR($A14="",COLUMNS($D14:K14)&gt;Management!$C$4),"",N(INDEX(Dashboard!$C$2:$AF$31,MATCH(LARGE(Dashboard!$AI$2:$AI$31,$A14),Dashboard!$AI$2:$AI$31,0),COLUMNS($D14:K14)))&amp;"/"&amp;INDEX(Management!$B$7:$B$36,COLUMNS($D14:K14)))</f>
        <v>4/15</v>
      </c>
      <c r="L14" s="82" t="str" cm="1">
        <f t="array" ref="L14">IF(OR($A14="",COLUMNS($D14:L14)&gt;Management!$C$4),"",N(INDEX(Dashboard!$C$2:$AF$31,MATCH(LARGE(Dashboard!$AI$2:$AI$31,$A14),Dashboard!$AI$2:$AI$31,0),COLUMNS($D14:L14)))&amp;"/"&amp;INDEX(Management!$B$7:$B$36,COLUMNS($D14:L14)))</f>
        <v>4/10</v>
      </c>
      <c r="M14" s="82" t="str" cm="1">
        <f t="array" ref="M14">IF(OR($A14="",COLUMNS($D14:M14)&gt;Management!$C$4),"",N(INDEX(Dashboard!$C$2:$AF$31,MATCH(LARGE(Dashboard!$AI$2:$AI$31,$A14),Dashboard!$AI$2:$AI$31,0),COLUMNS($D14:M14)))&amp;"/"&amp;INDEX(Management!$B$7:$B$36,COLUMNS($D14:M14)))</f>
        <v>4/10</v>
      </c>
      <c r="N14" s="82" t="str" cm="1">
        <f t="array" ref="N14">IF(OR($A14="",COLUMNS($D14:N14)&gt;Management!$C$4),"",N(INDEX(Dashboard!$C$2:$AF$31,MATCH(LARGE(Dashboard!$AI$2:$AI$31,$A14),Dashboard!$AI$2:$AI$31,0),COLUMNS($D14:N14)))&amp;"/"&amp;INDEX(Management!$B$7:$B$36,COLUMNS($D14:N14)))</f>
        <v>0/5</v>
      </c>
      <c r="O14" s="82" t="str" cm="1">
        <f t="array" ref="O14">IF(OR($A14="",COLUMNS($D14:O14)&gt;Management!$C$4),"",N(INDEX(Dashboard!$C$2:$AF$31,MATCH(LARGE(Dashboard!$AI$2:$AI$31,$A14),Dashboard!$AI$2:$AI$31,0),COLUMNS($D14:O14)))&amp;"/"&amp;INDEX(Management!$B$7:$B$36,COLUMNS($D14:O14)))</f>
        <v>4/10</v>
      </c>
      <c r="P14" s="82" t="str" cm="1">
        <f t="array" ref="P14">IF(OR($A14="",COLUMNS($D14:P14)&gt;Management!$C$4),"",N(INDEX(Dashboard!$C$2:$AF$31,MATCH(LARGE(Dashboard!$AI$2:$AI$31,$A14),Dashboard!$AI$2:$AI$31,0),COLUMNS($D14:P14)))&amp;"/"&amp;INDEX(Management!$B$7:$B$36,COLUMNS($D14:P14)))</f>
        <v>4/10</v>
      </c>
      <c r="Q14" s="82" t="str" cm="1">
        <f t="array" ref="Q14">IF(OR($A14="",COLUMNS($D14:Q14)&gt;Management!$C$4),"",N(INDEX(Dashboard!$C$2:$AF$31,MATCH(LARGE(Dashboard!$AI$2:$AI$31,$A14),Dashboard!$AI$2:$AI$31,0),COLUMNS($D14:Q14)))&amp;"/"&amp;INDEX(Management!$B$7:$B$36,COLUMNS($D14:Q14)))</f>
        <v/>
      </c>
      <c r="R14" s="82" t="str" cm="1">
        <f t="array" ref="R14">IF(OR($A14="",COLUMNS($D14:R14)&gt;Management!$C$4),"",N(INDEX(Dashboard!$C$2:$AF$31,MATCH(LARGE(Dashboard!$AI$2:$AI$31,$A14),Dashboard!$AI$2:$AI$31,0),COLUMNS($D14:R14)))&amp;"/"&amp;INDEX(Management!$B$7:$B$36,COLUMNS($D14:R14)))</f>
        <v/>
      </c>
      <c r="S14" s="82" t="str" cm="1">
        <f t="array" ref="S14">IF(OR($A14="",COLUMNS($D14:S14)&gt;Management!$C$4),"",N(INDEX(Dashboard!$C$2:$AF$31,MATCH(LARGE(Dashboard!$AI$2:$AI$31,$A14),Dashboard!$AI$2:$AI$31,0),COLUMNS($D14:S14)))&amp;"/"&amp;INDEX(Management!$B$7:$B$36,COLUMNS($D14:S14)))</f>
        <v/>
      </c>
      <c r="T14" s="82" t="str" cm="1">
        <f t="array" ref="T14">IF(OR($A14="",COLUMNS($D14:T14)&gt;Management!$C$4),"",N(INDEX(Dashboard!$C$2:$AF$31,MATCH(LARGE(Dashboard!$AI$2:$AI$31,$A14),Dashboard!$AI$2:$AI$31,0),COLUMNS($D14:T14)))&amp;"/"&amp;INDEX(Management!$B$7:$B$36,COLUMNS($D14:T14)))</f>
        <v/>
      </c>
      <c r="U14" s="82" t="str" cm="1">
        <f t="array" ref="U14">IF(OR($A14="",COLUMNS($D14:U14)&gt;Management!$C$4),"",N(INDEX(Dashboard!$C$2:$AF$31,MATCH(LARGE(Dashboard!$AI$2:$AI$31,$A14),Dashboard!$AI$2:$AI$31,0),COLUMNS($D14:U14)))&amp;"/"&amp;INDEX(Management!$B$7:$B$36,COLUMNS($D14:U14)))</f>
        <v/>
      </c>
      <c r="V14" s="82" t="str" cm="1">
        <f t="array" ref="V14">IF(OR($A14="",COLUMNS($D14:V14)&gt;Management!$C$4),"",N(INDEX(Dashboard!$C$2:$AF$31,MATCH(LARGE(Dashboard!$AI$2:$AI$31,$A14),Dashboard!$AI$2:$AI$31,0),COLUMNS($D14:V14)))&amp;"/"&amp;INDEX(Management!$B$7:$B$36,COLUMNS($D14:V14)))</f>
        <v/>
      </c>
      <c r="W14" s="82" t="str" cm="1">
        <f t="array" ref="W14">IF(OR($A14="",COLUMNS($D14:W14)&gt;Management!$C$4),"",N(INDEX(Dashboard!$C$2:$AF$31,MATCH(LARGE(Dashboard!$AI$2:$AI$31,$A14),Dashboard!$AI$2:$AI$31,0),COLUMNS($D14:W14)))&amp;"/"&amp;INDEX(Management!$B$7:$B$36,COLUMNS($D14:W14)))</f>
        <v/>
      </c>
      <c r="X14" s="82" t="str" cm="1">
        <f t="array" ref="X14">IF(OR($A14="",COLUMNS($D14:X14)&gt;Management!$C$4),"",N(INDEX(Dashboard!$C$2:$AF$31,MATCH(LARGE(Dashboard!$AI$2:$AI$31,$A14),Dashboard!$AI$2:$AI$31,0),COLUMNS($D14:X14)))&amp;"/"&amp;INDEX(Management!$B$7:$B$36,COLUMNS($D14:X14)))</f>
        <v/>
      </c>
      <c r="Y14" s="82" t="str" cm="1">
        <f t="array" ref="Y14">IF(OR($A14="",COLUMNS($D14:Y14)&gt;Management!$C$4),"",N(INDEX(Dashboard!$C$2:$AF$31,MATCH(LARGE(Dashboard!$AI$2:$AI$31,$A14),Dashboard!$AI$2:$AI$31,0),COLUMNS($D14:Y14)))&amp;"/"&amp;INDEX(Management!$B$7:$B$36,COLUMNS($D14:Y14)))</f>
        <v/>
      </c>
      <c r="Z14" s="82" t="str" cm="1">
        <f t="array" ref="Z14">IF(OR($A14="",COLUMNS($D14:Z14)&gt;Management!$C$4),"",N(INDEX(Dashboard!$C$2:$AF$31,MATCH(LARGE(Dashboard!$AI$2:$AI$31,$A14),Dashboard!$AI$2:$AI$31,0),COLUMNS($D14:Z14)))&amp;"/"&amp;INDEX(Management!$B$7:$B$36,COLUMNS($D14:Z14)))</f>
        <v/>
      </c>
      <c r="AA14" s="82" t="str" cm="1">
        <f t="array" ref="AA14">IF(OR($A14="",COLUMNS($D14:AA14)&gt;Management!$C$4),"",N(INDEX(Dashboard!$C$2:$AF$31,MATCH(LARGE(Dashboard!$AI$2:$AI$31,$A14),Dashboard!$AI$2:$AI$31,0),COLUMNS($D14:AA14)))&amp;"/"&amp;INDEX(Management!$B$7:$B$36,COLUMNS($D14:AA14)))</f>
        <v/>
      </c>
      <c r="AB14" s="82" t="str" cm="1">
        <f t="array" ref="AB14">IF(OR($A14="",COLUMNS($D14:AB14)&gt;Management!$C$4),"",N(INDEX(Dashboard!$C$2:$AF$31,MATCH(LARGE(Dashboard!$AI$2:$AI$31,$A14),Dashboard!$AI$2:$AI$31,0),COLUMNS($D14:AB14)))&amp;"/"&amp;INDEX(Management!$B$7:$B$36,COLUMNS($D14:AB14)))</f>
        <v/>
      </c>
      <c r="AC14" s="82" t="str" cm="1">
        <f t="array" ref="AC14">IF(OR($A14="",COLUMNS($D14:AC14)&gt;Management!$C$4),"",N(INDEX(Dashboard!$C$2:$AF$31,MATCH(LARGE(Dashboard!$AI$2:$AI$31,$A14),Dashboard!$AI$2:$AI$31,0),COLUMNS($D14:AC14)))&amp;"/"&amp;INDEX(Management!$B$7:$B$36,COLUMNS($D14:AC14)))</f>
        <v/>
      </c>
      <c r="AD14" s="82" t="str" cm="1">
        <f t="array" ref="AD14">IF(OR($A14="",COLUMNS($D14:AD14)&gt;Management!$C$4),"",N(INDEX(Dashboard!$C$2:$AF$31,MATCH(LARGE(Dashboard!$AI$2:$AI$31,$A14),Dashboard!$AI$2:$AI$31,0),COLUMNS($D14:AD14)))&amp;"/"&amp;INDEX(Management!$B$7:$B$36,COLUMNS($D14:AD14)))</f>
        <v/>
      </c>
      <c r="AE14" s="82" t="str" cm="1">
        <f t="array" ref="AE14">IF(OR($A14="",COLUMNS($D14:AE14)&gt;Management!$C$4),"",N(INDEX(Dashboard!$C$2:$AF$31,MATCH(LARGE(Dashboard!$AI$2:$AI$31,$A14),Dashboard!$AI$2:$AI$31,0),COLUMNS($D14:AE14)))&amp;"/"&amp;INDEX(Management!$B$7:$B$36,COLUMNS($D14:AE14)))</f>
        <v/>
      </c>
      <c r="AF14" s="82" t="str" cm="1">
        <f t="array" ref="AF14">IF(OR($A14="",COLUMNS($D14:AF14)&gt;Management!$C$4),"",N(INDEX(Dashboard!$C$2:$AF$31,MATCH(LARGE(Dashboard!$AI$2:$AI$31,$A14),Dashboard!$AI$2:$AI$31,0),COLUMNS($D14:AF14)))&amp;"/"&amp;INDEX(Management!$B$7:$B$36,COLUMNS($D14:AF14)))</f>
        <v/>
      </c>
      <c r="AG14" s="83" t="str" cm="1">
        <f t="array" ref="AG14">IF(OR($A14="",COLUMNS($D14:AG14)&gt;Management!$C$4),"",N(INDEX(Dashboard!$C$2:$AF$31,MATCH(LARGE(Dashboard!$AI$2:$AI$31,$A14),Dashboard!$AI$2:$AI$31,0),COLUMNS($D14:AG14)))&amp;"/"&amp;INDEX(Management!$B$7:$B$36,COLUMNS($D14:AG14)))</f>
        <v/>
      </c>
    </row>
    <row r="15" spans="1:33" ht="24" customHeight="1" x14ac:dyDescent="0.45">
      <c r="A15" s="84">
        <f>IF(ROWS($A$2:A15)&gt;COUNTA(Management!$F$7:$F$36),"",ROWS($A$2:A15))</f>
        <v>14</v>
      </c>
      <c r="B15" s="96" t="str">
        <f>IF($A15="","",INDEX(Dashboard!$A$2:$A$31,MATCH(LARGE(Dashboard!$AI$2:$AI$31,$A15),Dashboard!$AI$2:$AI$31,0)))</f>
        <v>Team23</v>
      </c>
      <c r="C15" s="110" t="str">
        <f>IF($A15="","",INDEX(Dashboard!$AG$2:$AG$31,MATCH(LARGE(Dashboard!$AI$2:$AI$31,$A15),Dashboard!$AI$2:$AI$31,0))&amp;" / "&amp;INDEX(Dashboard!$AH$2:$AH$31,MATCH(LARGE(Dashboard!$AI$2:$AI$31,$A15),Dashboard!$AI$2:$AI$31,0)))</f>
        <v>74 / 140</v>
      </c>
      <c r="D15" s="103" t="str" cm="1">
        <f t="array" ref="D15">IF(OR($A15="",COLUMNS($D15:D15)&gt;Management!$C$4),"",N(INDEX(Dashboard!$C$2:$AF$31,MATCH(LARGE(Dashboard!$AI$2:$AI$31,$A15),Dashboard!$AI$2:$AI$31,0),COLUMNS($D15:D15)))&amp;"/"&amp;INDEX(Management!$B$7:$B$36,COLUMNS($D15:D15)))</f>
        <v>4/10</v>
      </c>
      <c r="E15" s="85" t="str" cm="1">
        <f t="array" ref="E15">IF(OR($A15="",COLUMNS($D15:E15)&gt;Management!$C$4),"",N(INDEX(Dashboard!$C$2:$AF$31,MATCH(LARGE(Dashboard!$AI$2:$AI$31,$A15),Dashboard!$AI$2:$AI$31,0),COLUMNS($D15:E15)))&amp;"/"&amp;INDEX(Management!$B$7:$B$36,COLUMNS($D15:E15)))</f>
        <v>6/10</v>
      </c>
      <c r="F15" s="85" t="str" cm="1">
        <f t="array" ref="F15">IF(OR($A15="",COLUMNS($D15:F15)&gt;Management!$C$4),"",N(INDEX(Dashboard!$C$2:$AF$31,MATCH(LARGE(Dashboard!$AI$2:$AI$31,$A15),Dashboard!$AI$2:$AI$31,0),COLUMNS($D15:F15)))&amp;"/"&amp;INDEX(Management!$B$7:$B$36,COLUMNS($D15:F15)))</f>
        <v>4/10</v>
      </c>
      <c r="G15" s="85" t="str" cm="1">
        <f t="array" ref="G15">IF(OR($A15="",COLUMNS($D15:G15)&gt;Management!$C$4),"",N(INDEX(Dashboard!$C$2:$AF$31,MATCH(LARGE(Dashboard!$AI$2:$AI$31,$A15),Dashboard!$AI$2:$AI$31,0),COLUMNS($D15:G15)))&amp;"/"&amp;INDEX(Management!$B$7:$B$36,COLUMNS($D15:G15)))</f>
        <v>15/20</v>
      </c>
      <c r="H15" s="85" t="str" cm="1">
        <f t="array" ref="H15">IF(OR($A15="",COLUMNS($D15:H15)&gt;Management!$C$4),"",N(INDEX(Dashboard!$C$2:$AF$31,MATCH(LARGE(Dashboard!$AI$2:$AI$31,$A15),Dashboard!$AI$2:$AI$31,0),COLUMNS($D15:H15)))&amp;"/"&amp;INDEX(Management!$B$7:$B$36,COLUMNS($D15:H15)))</f>
        <v>2/10</v>
      </c>
      <c r="I15" s="85" t="str" cm="1">
        <f t="array" ref="I15">IF(OR($A15="",COLUMNS($D15:I15)&gt;Management!$C$4),"",N(INDEX(Dashboard!$C$2:$AF$31,MATCH(LARGE(Dashboard!$AI$2:$AI$31,$A15),Dashboard!$AI$2:$AI$31,0),COLUMNS($D15:I15)))&amp;"/"&amp;INDEX(Management!$B$7:$B$36,COLUMNS($D15:I15)))</f>
        <v>4/10</v>
      </c>
      <c r="J15" s="85" t="str" cm="1">
        <f t="array" ref="J15">IF(OR($A15="",COLUMNS($D15:J15)&gt;Management!$C$4),"",N(INDEX(Dashboard!$C$2:$AF$31,MATCH(LARGE(Dashboard!$AI$2:$AI$31,$A15),Dashboard!$AI$2:$AI$31,0),COLUMNS($D15:J15)))&amp;"/"&amp;INDEX(Management!$B$7:$B$36,COLUMNS($D15:J15)))</f>
        <v>6/10</v>
      </c>
      <c r="K15" s="85" t="str" cm="1">
        <f t="array" ref="K15">IF(OR($A15="",COLUMNS($D15:K15)&gt;Management!$C$4),"",N(INDEX(Dashboard!$C$2:$AF$31,MATCH(LARGE(Dashboard!$AI$2:$AI$31,$A15),Dashboard!$AI$2:$AI$31,0),COLUMNS($D15:K15)))&amp;"/"&amp;INDEX(Management!$B$7:$B$36,COLUMNS($D15:K15)))</f>
        <v>9/15</v>
      </c>
      <c r="L15" s="85" t="str" cm="1">
        <f t="array" ref="L15">IF(OR($A15="",COLUMNS($D15:L15)&gt;Management!$C$4),"",N(INDEX(Dashboard!$C$2:$AF$31,MATCH(LARGE(Dashboard!$AI$2:$AI$31,$A15),Dashboard!$AI$2:$AI$31,0),COLUMNS($D15:L15)))&amp;"/"&amp;INDEX(Management!$B$7:$B$36,COLUMNS($D15:L15)))</f>
        <v>6/10</v>
      </c>
      <c r="M15" s="85" t="str" cm="1">
        <f t="array" ref="M15">IF(OR($A15="",COLUMNS($D15:M15)&gt;Management!$C$4),"",N(INDEX(Dashboard!$C$2:$AF$31,MATCH(LARGE(Dashboard!$AI$2:$AI$31,$A15),Dashboard!$AI$2:$AI$31,0),COLUMNS($D15:M15)))&amp;"/"&amp;INDEX(Management!$B$7:$B$36,COLUMNS($D15:M15)))</f>
        <v>6/10</v>
      </c>
      <c r="N15" s="85" t="str" cm="1">
        <f t="array" ref="N15">IF(OR($A15="",COLUMNS($D15:N15)&gt;Management!$C$4),"",N(INDEX(Dashboard!$C$2:$AF$31,MATCH(LARGE(Dashboard!$AI$2:$AI$31,$A15),Dashboard!$AI$2:$AI$31,0),COLUMNS($D15:N15)))&amp;"/"&amp;INDEX(Management!$B$7:$B$36,COLUMNS($D15:N15)))</f>
        <v>0/5</v>
      </c>
      <c r="O15" s="85" t="str" cm="1">
        <f t="array" ref="O15">IF(OR($A15="",COLUMNS($D15:O15)&gt;Management!$C$4),"",N(INDEX(Dashboard!$C$2:$AF$31,MATCH(LARGE(Dashboard!$AI$2:$AI$31,$A15),Dashboard!$AI$2:$AI$31,0),COLUMNS($D15:O15)))&amp;"/"&amp;INDEX(Management!$B$7:$B$36,COLUMNS($D15:O15)))</f>
        <v>6/10</v>
      </c>
      <c r="P15" s="85" t="str" cm="1">
        <f t="array" ref="P15">IF(OR($A15="",COLUMNS($D15:P15)&gt;Management!$C$4),"",N(INDEX(Dashboard!$C$2:$AF$31,MATCH(LARGE(Dashboard!$AI$2:$AI$31,$A15),Dashboard!$AI$2:$AI$31,0),COLUMNS($D15:P15)))&amp;"/"&amp;INDEX(Management!$B$7:$B$36,COLUMNS($D15:P15)))</f>
        <v>6/10</v>
      </c>
      <c r="Q15" s="85" t="str" cm="1">
        <f t="array" ref="Q15">IF(OR($A15="",COLUMNS($D15:Q15)&gt;Management!$C$4),"",N(INDEX(Dashboard!$C$2:$AF$31,MATCH(LARGE(Dashboard!$AI$2:$AI$31,$A15),Dashboard!$AI$2:$AI$31,0),COLUMNS($D15:Q15)))&amp;"/"&amp;INDEX(Management!$B$7:$B$36,COLUMNS($D15:Q15)))</f>
        <v/>
      </c>
      <c r="R15" s="85" t="str" cm="1">
        <f t="array" ref="R15">IF(OR($A15="",COLUMNS($D15:R15)&gt;Management!$C$4),"",N(INDEX(Dashboard!$C$2:$AF$31,MATCH(LARGE(Dashboard!$AI$2:$AI$31,$A15),Dashboard!$AI$2:$AI$31,0),COLUMNS($D15:R15)))&amp;"/"&amp;INDEX(Management!$B$7:$B$36,COLUMNS($D15:R15)))</f>
        <v/>
      </c>
      <c r="S15" s="85" t="str" cm="1">
        <f t="array" ref="S15">IF(OR($A15="",COLUMNS($D15:S15)&gt;Management!$C$4),"",N(INDEX(Dashboard!$C$2:$AF$31,MATCH(LARGE(Dashboard!$AI$2:$AI$31,$A15),Dashboard!$AI$2:$AI$31,0),COLUMNS($D15:S15)))&amp;"/"&amp;INDEX(Management!$B$7:$B$36,COLUMNS($D15:S15)))</f>
        <v/>
      </c>
      <c r="T15" s="85" t="str" cm="1">
        <f t="array" ref="T15">IF(OR($A15="",COLUMNS($D15:T15)&gt;Management!$C$4),"",N(INDEX(Dashboard!$C$2:$AF$31,MATCH(LARGE(Dashboard!$AI$2:$AI$31,$A15),Dashboard!$AI$2:$AI$31,0),COLUMNS($D15:T15)))&amp;"/"&amp;INDEX(Management!$B$7:$B$36,COLUMNS($D15:T15)))</f>
        <v/>
      </c>
      <c r="U15" s="85" t="str" cm="1">
        <f t="array" ref="U15">IF(OR($A15="",COLUMNS($D15:U15)&gt;Management!$C$4),"",N(INDEX(Dashboard!$C$2:$AF$31,MATCH(LARGE(Dashboard!$AI$2:$AI$31,$A15),Dashboard!$AI$2:$AI$31,0),COLUMNS($D15:U15)))&amp;"/"&amp;INDEX(Management!$B$7:$B$36,COLUMNS($D15:U15)))</f>
        <v/>
      </c>
      <c r="V15" s="85" t="str" cm="1">
        <f t="array" ref="V15">IF(OR($A15="",COLUMNS($D15:V15)&gt;Management!$C$4),"",N(INDEX(Dashboard!$C$2:$AF$31,MATCH(LARGE(Dashboard!$AI$2:$AI$31,$A15),Dashboard!$AI$2:$AI$31,0),COLUMNS($D15:V15)))&amp;"/"&amp;INDEX(Management!$B$7:$B$36,COLUMNS($D15:V15)))</f>
        <v/>
      </c>
      <c r="W15" s="85" t="str" cm="1">
        <f t="array" ref="W15">IF(OR($A15="",COLUMNS($D15:W15)&gt;Management!$C$4),"",N(INDEX(Dashboard!$C$2:$AF$31,MATCH(LARGE(Dashboard!$AI$2:$AI$31,$A15),Dashboard!$AI$2:$AI$31,0),COLUMNS($D15:W15)))&amp;"/"&amp;INDEX(Management!$B$7:$B$36,COLUMNS($D15:W15)))</f>
        <v/>
      </c>
      <c r="X15" s="85" t="str" cm="1">
        <f t="array" ref="X15">IF(OR($A15="",COLUMNS($D15:X15)&gt;Management!$C$4),"",N(INDEX(Dashboard!$C$2:$AF$31,MATCH(LARGE(Dashboard!$AI$2:$AI$31,$A15),Dashboard!$AI$2:$AI$31,0),COLUMNS($D15:X15)))&amp;"/"&amp;INDEX(Management!$B$7:$B$36,COLUMNS($D15:X15)))</f>
        <v/>
      </c>
      <c r="Y15" s="85" t="str" cm="1">
        <f t="array" ref="Y15">IF(OR($A15="",COLUMNS($D15:Y15)&gt;Management!$C$4),"",N(INDEX(Dashboard!$C$2:$AF$31,MATCH(LARGE(Dashboard!$AI$2:$AI$31,$A15),Dashboard!$AI$2:$AI$31,0),COLUMNS($D15:Y15)))&amp;"/"&amp;INDEX(Management!$B$7:$B$36,COLUMNS($D15:Y15)))</f>
        <v/>
      </c>
      <c r="Z15" s="85" t="str" cm="1">
        <f t="array" ref="Z15">IF(OR($A15="",COLUMNS($D15:Z15)&gt;Management!$C$4),"",N(INDEX(Dashboard!$C$2:$AF$31,MATCH(LARGE(Dashboard!$AI$2:$AI$31,$A15),Dashboard!$AI$2:$AI$31,0),COLUMNS($D15:Z15)))&amp;"/"&amp;INDEX(Management!$B$7:$B$36,COLUMNS($D15:Z15)))</f>
        <v/>
      </c>
      <c r="AA15" s="85" t="str" cm="1">
        <f t="array" ref="AA15">IF(OR($A15="",COLUMNS($D15:AA15)&gt;Management!$C$4),"",N(INDEX(Dashboard!$C$2:$AF$31,MATCH(LARGE(Dashboard!$AI$2:$AI$31,$A15),Dashboard!$AI$2:$AI$31,0),COLUMNS($D15:AA15)))&amp;"/"&amp;INDEX(Management!$B$7:$B$36,COLUMNS($D15:AA15)))</f>
        <v/>
      </c>
      <c r="AB15" s="85" t="str" cm="1">
        <f t="array" ref="AB15">IF(OR($A15="",COLUMNS($D15:AB15)&gt;Management!$C$4),"",N(INDEX(Dashboard!$C$2:$AF$31,MATCH(LARGE(Dashboard!$AI$2:$AI$31,$A15),Dashboard!$AI$2:$AI$31,0),COLUMNS($D15:AB15)))&amp;"/"&amp;INDEX(Management!$B$7:$B$36,COLUMNS($D15:AB15)))</f>
        <v/>
      </c>
      <c r="AC15" s="85" t="str" cm="1">
        <f t="array" ref="AC15">IF(OR($A15="",COLUMNS($D15:AC15)&gt;Management!$C$4),"",N(INDEX(Dashboard!$C$2:$AF$31,MATCH(LARGE(Dashboard!$AI$2:$AI$31,$A15),Dashboard!$AI$2:$AI$31,0),COLUMNS($D15:AC15)))&amp;"/"&amp;INDEX(Management!$B$7:$B$36,COLUMNS($D15:AC15)))</f>
        <v/>
      </c>
      <c r="AD15" s="85" t="str" cm="1">
        <f t="array" ref="AD15">IF(OR($A15="",COLUMNS($D15:AD15)&gt;Management!$C$4),"",N(INDEX(Dashboard!$C$2:$AF$31,MATCH(LARGE(Dashboard!$AI$2:$AI$31,$A15),Dashboard!$AI$2:$AI$31,0),COLUMNS($D15:AD15)))&amp;"/"&amp;INDEX(Management!$B$7:$B$36,COLUMNS($D15:AD15)))</f>
        <v/>
      </c>
      <c r="AE15" s="85" t="str" cm="1">
        <f t="array" ref="AE15">IF(OR($A15="",COLUMNS($D15:AE15)&gt;Management!$C$4),"",N(INDEX(Dashboard!$C$2:$AF$31,MATCH(LARGE(Dashboard!$AI$2:$AI$31,$A15),Dashboard!$AI$2:$AI$31,0),COLUMNS($D15:AE15)))&amp;"/"&amp;INDEX(Management!$B$7:$B$36,COLUMNS($D15:AE15)))</f>
        <v/>
      </c>
      <c r="AF15" s="85" t="str" cm="1">
        <f t="array" ref="AF15">IF(OR($A15="",COLUMNS($D15:AF15)&gt;Management!$C$4),"",N(INDEX(Dashboard!$C$2:$AF$31,MATCH(LARGE(Dashboard!$AI$2:$AI$31,$A15),Dashboard!$AI$2:$AI$31,0),COLUMNS($D15:AF15)))&amp;"/"&amp;INDEX(Management!$B$7:$B$36,COLUMNS($D15:AF15)))</f>
        <v/>
      </c>
      <c r="AG15" s="86" t="str" cm="1">
        <f t="array" ref="AG15">IF(OR($A15="",COLUMNS($D15:AG15)&gt;Management!$C$4),"",N(INDEX(Dashboard!$C$2:$AF$31,MATCH(LARGE(Dashboard!$AI$2:$AI$31,$A15),Dashboard!$AI$2:$AI$31,0),COLUMNS($D15:AG15)))&amp;"/"&amp;INDEX(Management!$B$7:$B$36,COLUMNS($D15:AG15)))</f>
        <v/>
      </c>
    </row>
    <row r="16" spans="1:33" ht="24" customHeight="1" x14ac:dyDescent="0.45">
      <c r="A16" s="81">
        <f>IF(ROWS($A$2:A16)&gt;COUNTA(Management!$F$7:$F$36),"",ROWS($A$2:A16))</f>
        <v>15</v>
      </c>
      <c r="B16" s="95" t="str">
        <f>IF($A16="","",INDEX(Dashboard!$A$2:$A$31,MATCH(LARGE(Dashboard!$AI$2:$AI$31,$A16),Dashboard!$AI$2:$AI$31,0)))</f>
        <v>Team31</v>
      </c>
      <c r="C16" s="110" t="str">
        <f>IF($A16="","",INDEX(Dashboard!$AG$2:$AG$31,MATCH(LARGE(Dashboard!$AI$2:$AI$31,$A16),Dashboard!$AI$2:$AI$31,0))&amp;" / "&amp;INDEX(Dashboard!$AH$2:$AH$31,MATCH(LARGE(Dashboard!$AI$2:$AI$31,$A16),Dashboard!$AI$2:$AI$31,0)))</f>
        <v>74 / 140</v>
      </c>
      <c r="D16" s="102" t="str" cm="1">
        <f t="array" ref="D16">IF(OR($A16="",COLUMNS($D16:D16)&gt;Management!$C$4),"",N(INDEX(Dashboard!$C$2:$AF$31,MATCH(LARGE(Dashboard!$AI$2:$AI$31,$A16),Dashboard!$AI$2:$AI$31,0),COLUMNS($D16:D16)))&amp;"/"&amp;INDEX(Management!$B$7:$B$36,COLUMNS($D16:D16)))</f>
        <v>4/10</v>
      </c>
      <c r="E16" s="82" t="str" cm="1">
        <f t="array" ref="E16">IF(OR($A16="",COLUMNS($D16:E16)&gt;Management!$C$4),"",N(INDEX(Dashboard!$C$2:$AF$31,MATCH(LARGE(Dashboard!$AI$2:$AI$31,$A16),Dashboard!$AI$2:$AI$31,0),COLUMNS($D16:E16)))&amp;"/"&amp;INDEX(Management!$B$7:$B$36,COLUMNS($D16:E16)))</f>
        <v>6/10</v>
      </c>
      <c r="F16" s="82" t="str" cm="1">
        <f t="array" ref="F16">IF(OR($A16="",COLUMNS($D16:F16)&gt;Management!$C$4),"",N(INDEX(Dashboard!$C$2:$AF$31,MATCH(LARGE(Dashboard!$AI$2:$AI$31,$A16),Dashboard!$AI$2:$AI$31,0),COLUMNS($D16:F16)))&amp;"/"&amp;INDEX(Management!$B$7:$B$36,COLUMNS($D16:F16)))</f>
        <v>4/10</v>
      </c>
      <c r="G16" s="82" t="str" cm="1">
        <f t="array" ref="G16">IF(OR($A16="",COLUMNS($D16:G16)&gt;Management!$C$4),"",N(INDEX(Dashboard!$C$2:$AF$31,MATCH(LARGE(Dashboard!$AI$2:$AI$31,$A16),Dashboard!$AI$2:$AI$31,0),COLUMNS($D16:G16)))&amp;"/"&amp;INDEX(Management!$B$7:$B$36,COLUMNS($D16:G16)))</f>
        <v>15/20</v>
      </c>
      <c r="H16" s="82" t="str" cm="1">
        <f t="array" ref="H16">IF(OR($A16="",COLUMNS($D16:H16)&gt;Management!$C$4),"",N(INDEX(Dashboard!$C$2:$AF$31,MATCH(LARGE(Dashboard!$AI$2:$AI$31,$A16),Dashboard!$AI$2:$AI$31,0),COLUMNS($D16:H16)))&amp;"/"&amp;INDEX(Management!$B$7:$B$36,COLUMNS($D16:H16)))</f>
        <v>2/10</v>
      </c>
      <c r="I16" s="82" t="str" cm="1">
        <f t="array" ref="I16">IF(OR($A16="",COLUMNS($D16:I16)&gt;Management!$C$4),"",N(INDEX(Dashboard!$C$2:$AF$31,MATCH(LARGE(Dashboard!$AI$2:$AI$31,$A16),Dashboard!$AI$2:$AI$31,0),COLUMNS($D16:I16)))&amp;"/"&amp;INDEX(Management!$B$7:$B$36,COLUMNS($D16:I16)))</f>
        <v>4/10</v>
      </c>
      <c r="J16" s="82" t="str" cm="1">
        <f t="array" ref="J16">IF(OR($A16="",COLUMNS($D16:J16)&gt;Management!$C$4),"",N(INDEX(Dashboard!$C$2:$AF$31,MATCH(LARGE(Dashboard!$AI$2:$AI$31,$A16),Dashboard!$AI$2:$AI$31,0),COLUMNS($D16:J16)))&amp;"/"&amp;INDEX(Management!$B$7:$B$36,COLUMNS($D16:J16)))</f>
        <v>6/10</v>
      </c>
      <c r="K16" s="82" t="str" cm="1">
        <f t="array" ref="K16">IF(OR($A16="",COLUMNS($D16:K16)&gt;Management!$C$4),"",N(INDEX(Dashboard!$C$2:$AF$31,MATCH(LARGE(Dashboard!$AI$2:$AI$31,$A16),Dashboard!$AI$2:$AI$31,0),COLUMNS($D16:K16)))&amp;"/"&amp;INDEX(Management!$B$7:$B$36,COLUMNS($D16:K16)))</f>
        <v>9/15</v>
      </c>
      <c r="L16" s="82" t="str" cm="1">
        <f t="array" ref="L16">IF(OR($A16="",COLUMNS($D16:L16)&gt;Management!$C$4),"",N(INDEX(Dashboard!$C$2:$AF$31,MATCH(LARGE(Dashboard!$AI$2:$AI$31,$A16),Dashboard!$AI$2:$AI$31,0),COLUMNS($D16:L16)))&amp;"/"&amp;INDEX(Management!$B$7:$B$36,COLUMNS($D16:L16)))</f>
        <v>6/10</v>
      </c>
      <c r="M16" s="82" t="str" cm="1">
        <f t="array" ref="M16">IF(OR($A16="",COLUMNS($D16:M16)&gt;Management!$C$4),"",N(INDEX(Dashboard!$C$2:$AF$31,MATCH(LARGE(Dashboard!$AI$2:$AI$31,$A16),Dashboard!$AI$2:$AI$31,0),COLUMNS($D16:M16)))&amp;"/"&amp;INDEX(Management!$B$7:$B$36,COLUMNS($D16:M16)))</f>
        <v>6/10</v>
      </c>
      <c r="N16" s="82" t="str" cm="1">
        <f t="array" ref="N16">IF(OR($A16="",COLUMNS($D16:N16)&gt;Management!$C$4),"",N(INDEX(Dashboard!$C$2:$AF$31,MATCH(LARGE(Dashboard!$AI$2:$AI$31,$A16),Dashboard!$AI$2:$AI$31,0),COLUMNS($D16:N16)))&amp;"/"&amp;INDEX(Management!$B$7:$B$36,COLUMNS($D16:N16)))</f>
        <v>0/5</v>
      </c>
      <c r="O16" s="82" t="str" cm="1">
        <f t="array" ref="O16">IF(OR($A16="",COLUMNS($D16:O16)&gt;Management!$C$4),"",N(INDEX(Dashboard!$C$2:$AF$31,MATCH(LARGE(Dashboard!$AI$2:$AI$31,$A16),Dashboard!$AI$2:$AI$31,0),COLUMNS($D16:O16)))&amp;"/"&amp;INDEX(Management!$B$7:$B$36,COLUMNS($D16:O16)))</f>
        <v>6/10</v>
      </c>
      <c r="P16" s="82" t="str" cm="1">
        <f t="array" ref="P16">IF(OR($A16="",COLUMNS($D16:P16)&gt;Management!$C$4),"",N(INDEX(Dashboard!$C$2:$AF$31,MATCH(LARGE(Dashboard!$AI$2:$AI$31,$A16),Dashboard!$AI$2:$AI$31,0),COLUMNS($D16:P16)))&amp;"/"&amp;INDEX(Management!$B$7:$B$36,COLUMNS($D16:P16)))</f>
        <v>6/10</v>
      </c>
      <c r="Q16" s="82" t="str" cm="1">
        <f t="array" ref="Q16">IF(OR($A16="",COLUMNS($D16:Q16)&gt;Management!$C$4),"",N(INDEX(Dashboard!$C$2:$AF$31,MATCH(LARGE(Dashboard!$AI$2:$AI$31,$A16),Dashboard!$AI$2:$AI$31,0),COLUMNS($D16:Q16)))&amp;"/"&amp;INDEX(Management!$B$7:$B$36,COLUMNS($D16:Q16)))</f>
        <v/>
      </c>
      <c r="R16" s="82" t="str" cm="1">
        <f t="array" ref="R16">IF(OR($A16="",COLUMNS($D16:R16)&gt;Management!$C$4),"",N(INDEX(Dashboard!$C$2:$AF$31,MATCH(LARGE(Dashboard!$AI$2:$AI$31,$A16),Dashboard!$AI$2:$AI$31,0),COLUMNS($D16:R16)))&amp;"/"&amp;INDEX(Management!$B$7:$B$36,COLUMNS($D16:R16)))</f>
        <v/>
      </c>
      <c r="S16" s="82" t="str" cm="1">
        <f t="array" ref="S16">IF(OR($A16="",COLUMNS($D16:S16)&gt;Management!$C$4),"",N(INDEX(Dashboard!$C$2:$AF$31,MATCH(LARGE(Dashboard!$AI$2:$AI$31,$A16),Dashboard!$AI$2:$AI$31,0),COLUMNS($D16:S16)))&amp;"/"&amp;INDEX(Management!$B$7:$B$36,COLUMNS($D16:S16)))</f>
        <v/>
      </c>
      <c r="T16" s="82" t="str" cm="1">
        <f t="array" ref="T16">IF(OR($A16="",COLUMNS($D16:T16)&gt;Management!$C$4),"",N(INDEX(Dashboard!$C$2:$AF$31,MATCH(LARGE(Dashboard!$AI$2:$AI$31,$A16),Dashboard!$AI$2:$AI$31,0),COLUMNS($D16:T16)))&amp;"/"&amp;INDEX(Management!$B$7:$B$36,COLUMNS($D16:T16)))</f>
        <v/>
      </c>
      <c r="U16" s="82" t="str" cm="1">
        <f t="array" ref="U16">IF(OR($A16="",COLUMNS($D16:U16)&gt;Management!$C$4),"",N(INDEX(Dashboard!$C$2:$AF$31,MATCH(LARGE(Dashboard!$AI$2:$AI$31,$A16),Dashboard!$AI$2:$AI$31,0),COLUMNS($D16:U16)))&amp;"/"&amp;INDEX(Management!$B$7:$B$36,COLUMNS($D16:U16)))</f>
        <v/>
      </c>
      <c r="V16" s="82" t="str" cm="1">
        <f t="array" ref="V16">IF(OR($A16="",COLUMNS($D16:V16)&gt;Management!$C$4),"",N(INDEX(Dashboard!$C$2:$AF$31,MATCH(LARGE(Dashboard!$AI$2:$AI$31,$A16),Dashboard!$AI$2:$AI$31,0),COLUMNS($D16:V16)))&amp;"/"&amp;INDEX(Management!$B$7:$B$36,COLUMNS($D16:V16)))</f>
        <v/>
      </c>
      <c r="W16" s="82" t="str" cm="1">
        <f t="array" ref="W16">IF(OR($A16="",COLUMNS($D16:W16)&gt;Management!$C$4),"",N(INDEX(Dashboard!$C$2:$AF$31,MATCH(LARGE(Dashboard!$AI$2:$AI$31,$A16),Dashboard!$AI$2:$AI$31,0),COLUMNS($D16:W16)))&amp;"/"&amp;INDEX(Management!$B$7:$B$36,COLUMNS($D16:W16)))</f>
        <v/>
      </c>
      <c r="X16" s="82" t="str" cm="1">
        <f t="array" ref="X16">IF(OR($A16="",COLUMNS($D16:X16)&gt;Management!$C$4),"",N(INDEX(Dashboard!$C$2:$AF$31,MATCH(LARGE(Dashboard!$AI$2:$AI$31,$A16),Dashboard!$AI$2:$AI$31,0),COLUMNS($D16:X16)))&amp;"/"&amp;INDEX(Management!$B$7:$B$36,COLUMNS($D16:X16)))</f>
        <v/>
      </c>
      <c r="Y16" s="82" t="str" cm="1">
        <f t="array" ref="Y16">IF(OR($A16="",COLUMNS($D16:Y16)&gt;Management!$C$4),"",N(INDEX(Dashboard!$C$2:$AF$31,MATCH(LARGE(Dashboard!$AI$2:$AI$31,$A16),Dashboard!$AI$2:$AI$31,0),COLUMNS($D16:Y16)))&amp;"/"&amp;INDEX(Management!$B$7:$B$36,COLUMNS($D16:Y16)))</f>
        <v/>
      </c>
      <c r="Z16" s="82" t="str" cm="1">
        <f t="array" ref="Z16">IF(OR($A16="",COLUMNS($D16:Z16)&gt;Management!$C$4),"",N(INDEX(Dashboard!$C$2:$AF$31,MATCH(LARGE(Dashboard!$AI$2:$AI$31,$A16),Dashboard!$AI$2:$AI$31,0),COLUMNS($D16:Z16)))&amp;"/"&amp;INDEX(Management!$B$7:$B$36,COLUMNS($D16:Z16)))</f>
        <v/>
      </c>
      <c r="AA16" s="82" t="str" cm="1">
        <f t="array" ref="AA16">IF(OR($A16="",COLUMNS($D16:AA16)&gt;Management!$C$4),"",N(INDEX(Dashboard!$C$2:$AF$31,MATCH(LARGE(Dashboard!$AI$2:$AI$31,$A16),Dashboard!$AI$2:$AI$31,0),COLUMNS($D16:AA16)))&amp;"/"&amp;INDEX(Management!$B$7:$B$36,COLUMNS($D16:AA16)))</f>
        <v/>
      </c>
      <c r="AB16" s="82" t="str" cm="1">
        <f t="array" ref="AB16">IF(OR($A16="",COLUMNS($D16:AB16)&gt;Management!$C$4),"",N(INDEX(Dashboard!$C$2:$AF$31,MATCH(LARGE(Dashboard!$AI$2:$AI$31,$A16),Dashboard!$AI$2:$AI$31,0),COLUMNS($D16:AB16)))&amp;"/"&amp;INDEX(Management!$B$7:$B$36,COLUMNS($D16:AB16)))</f>
        <v/>
      </c>
      <c r="AC16" s="82" t="str" cm="1">
        <f t="array" ref="AC16">IF(OR($A16="",COLUMNS($D16:AC16)&gt;Management!$C$4),"",N(INDEX(Dashboard!$C$2:$AF$31,MATCH(LARGE(Dashboard!$AI$2:$AI$31,$A16),Dashboard!$AI$2:$AI$31,0),COLUMNS($D16:AC16)))&amp;"/"&amp;INDEX(Management!$B$7:$B$36,COLUMNS($D16:AC16)))</f>
        <v/>
      </c>
      <c r="AD16" s="82" t="str" cm="1">
        <f t="array" ref="AD16">IF(OR($A16="",COLUMNS($D16:AD16)&gt;Management!$C$4),"",N(INDEX(Dashboard!$C$2:$AF$31,MATCH(LARGE(Dashboard!$AI$2:$AI$31,$A16),Dashboard!$AI$2:$AI$31,0),COLUMNS($D16:AD16)))&amp;"/"&amp;INDEX(Management!$B$7:$B$36,COLUMNS($D16:AD16)))</f>
        <v/>
      </c>
      <c r="AE16" s="82" t="str" cm="1">
        <f t="array" ref="AE16">IF(OR($A16="",COLUMNS($D16:AE16)&gt;Management!$C$4),"",N(INDEX(Dashboard!$C$2:$AF$31,MATCH(LARGE(Dashboard!$AI$2:$AI$31,$A16),Dashboard!$AI$2:$AI$31,0),COLUMNS($D16:AE16)))&amp;"/"&amp;INDEX(Management!$B$7:$B$36,COLUMNS($D16:AE16)))</f>
        <v/>
      </c>
      <c r="AF16" s="82" t="str" cm="1">
        <f t="array" ref="AF16">IF(OR($A16="",COLUMNS($D16:AF16)&gt;Management!$C$4),"",N(INDEX(Dashboard!$C$2:$AF$31,MATCH(LARGE(Dashboard!$AI$2:$AI$31,$A16),Dashboard!$AI$2:$AI$31,0),COLUMNS($D16:AF16)))&amp;"/"&amp;INDEX(Management!$B$7:$B$36,COLUMNS($D16:AF16)))</f>
        <v/>
      </c>
      <c r="AG16" s="83" t="str" cm="1">
        <f t="array" ref="AG16">IF(OR($A16="",COLUMNS($D16:AG16)&gt;Management!$C$4),"",N(INDEX(Dashboard!$C$2:$AF$31,MATCH(LARGE(Dashboard!$AI$2:$AI$31,$A16),Dashboard!$AI$2:$AI$31,0),COLUMNS($D16:AG16)))&amp;"/"&amp;INDEX(Management!$B$7:$B$36,COLUMNS($D16:AG16)))</f>
        <v/>
      </c>
    </row>
    <row r="17" spans="1:33" ht="24" customHeight="1" x14ac:dyDescent="0.45">
      <c r="A17" s="84">
        <f>IF(ROWS($A$2:A17)&gt;COUNTA(Management!$F$7:$F$36),"",ROWS($A$2:A17))</f>
        <v>16</v>
      </c>
      <c r="B17" s="96" t="str">
        <f>IF($A17="","",INDEX(Dashboard!$A$2:$A$31,MATCH(LARGE(Dashboard!$AI$2:$AI$31,$A17),Dashboard!$AI$2:$AI$31,0)))</f>
        <v>Team32</v>
      </c>
      <c r="C17" s="110" t="str">
        <f>IF($A17="","",INDEX(Dashboard!$AG$2:$AG$31,MATCH(LARGE(Dashboard!$AI$2:$AI$31,$A17),Dashboard!$AI$2:$AI$31,0))&amp;" / "&amp;INDEX(Dashboard!$AH$2:$AH$31,MATCH(LARGE(Dashboard!$AI$2:$AI$31,$A17),Dashboard!$AI$2:$AI$31,0)))</f>
        <v>74 / 140</v>
      </c>
      <c r="D17" s="103" t="str" cm="1">
        <f t="array" ref="D17">IF(OR($A17="",COLUMNS($D17:D17)&gt;Management!$C$4),"",N(INDEX(Dashboard!$C$2:$AF$31,MATCH(LARGE(Dashboard!$AI$2:$AI$31,$A17),Dashboard!$AI$2:$AI$31,0),COLUMNS($D17:D17)))&amp;"/"&amp;INDEX(Management!$B$7:$B$36,COLUMNS($D17:D17)))</f>
        <v>8/10</v>
      </c>
      <c r="E17" s="85" t="str" cm="1">
        <f t="array" ref="E17">IF(OR($A17="",COLUMNS($D17:E17)&gt;Management!$C$4),"",N(INDEX(Dashboard!$C$2:$AF$31,MATCH(LARGE(Dashboard!$AI$2:$AI$31,$A17),Dashboard!$AI$2:$AI$31,0),COLUMNS($D17:E17)))&amp;"/"&amp;INDEX(Management!$B$7:$B$36,COLUMNS($D17:E17)))</f>
        <v>8/10</v>
      </c>
      <c r="F17" s="85" t="str" cm="1">
        <f t="array" ref="F17">IF(OR($A17="",COLUMNS($D17:F17)&gt;Management!$C$4),"",N(INDEX(Dashboard!$C$2:$AF$31,MATCH(LARGE(Dashboard!$AI$2:$AI$31,$A17),Dashboard!$AI$2:$AI$31,0),COLUMNS($D17:F17)))&amp;"/"&amp;INDEX(Management!$B$7:$B$36,COLUMNS($D17:F17)))</f>
        <v>9/10</v>
      </c>
      <c r="G17" s="85" t="str" cm="1">
        <f t="array" ref="G17">IF(OR($A17="",COLUMNS($D17:G17)&gt;Management!$C$4),"",N(INDEX(Dashboard!$C$2:$AF$31,MATCH(LARGE(Dashboard!$AI$2:$AI$31,$A17),Dashboard!$AI$2:$AI$31,0),COLUMNS($D17:G17)))&amp;"/"&amp;INDEX(Management!$B$7:$B$36,COLUMNS($D17:G17)))</f>
        <v>18/20</v>
      </c>
      <c r="H17" s="85" t="str" cm="1">
        <f t="array" ref="H17">IF(OR($A17="",COLUMNS($D17:H17)&gt;Management!$C$4),"",N(INDEX(Dashboard!$C$2:$AF$31,MATCH(LARGE(Dashboard!$AI$2:$AI$31,$A17),Dashboard!$AI$2:$AI$31,0),COLUMNS($D17:H17)))&amp;"/"&amp;INDEX(Management!$B$7:$B$36,COLUMNS($D17:H17)))</f>
        <v>3/10</v>
      </c>
      <c r="I17" s="85" t="str" cm="1">
        <f t="array" ref="I17">IF(OR($A17="",COLUMNS($D17:I17)&gt;Management!$C$4),"",N(INDEX(Dashboard!$C$2:$AF$31,MATCH(LARGE(Dashboard!$AI$2:$AI$31,$A17),Dashboard!$AI$2:$AI$31,0),COLUMNS($D17:I17)))&amp;"/"&amp;INDEX(Management!$B$7:$B$36,COLUMNS($D17:I17)))</f>
        <v>4/10</v>
      </c>
      <c r="J17" s="85" t="str" cm="1">
        <f t="array" ref="J17">IF(OR($A17="",COLUMNS($D17:J17)&gt;Management!$C$4),"",N(INDEX(Dashboard!$C$2:$AF$31,MATCH(LARGE(Dashboard!$AI$2:$AI$31,$A17),Dashboard!$AI$2:$AI$31,0),COLUMNS($D17:J17)))&amp;"/"&amp;INDEX(Management!$B$7:$B$36,COLUMNS($D17:J17)))</f>
        <v>4/10</v>
      </c>
      <c r="K17" s="85" t="str" cm="1">
        <f t="array" ref="K17">IF(OR($A17="",COLUMNS($D17:K17)&gt;Management!$C$4),"",N(INDEX(Dashboard!$C$2:$AF$31,MATCH(LARGE(Dashboard!$AI$2:$AI$31,$A17),Dashboard!$AI$2:$AI$31,0),COLUMNS($D17:K17)))&amp;"/"&amp;INDEX(Management!$B$7:$B$36,COLUMNS($D17:K17)))</f>
        <v>4/15</v>
      </c>
      <c r="L17" s="85" t="str" cm="1">
        <f t="array" ref="L17">IF(OR($A17="",COLUMNS($D17:L17)&gt;Management!$C$4),"",N(INDEX(Dashboard!$C$2:$AF$31,MATCH(LARGE(Dashboard!$AI$2:$AI$31,$A17),Dashboard!$AI$2:$AI$31,0),COLUMNS($D17:L17)))&amp;"/"&amp;INDEX(Management!$B$7:$B$36,COLUMNS($D17:L17)))</f>
        <v>4/10</v>
      </c>
      <c r="M17" s="85" t="str" cm="1">
        <f t="array" ref="M17">IF(OR($A17="",COLUMNS($D17:M17)&gt;Management!$C$4),"",N(INDEX(Dashboard!$C$2:$AF$31,MATCH(LARGE(Dashboard!$AI$2:$AI$31,$A17),Dashboard!$AI$2:$AI$31,0),COLUMNS($D17:M17)))&amp;"/"&amp;INDEX(Management!$B$7:$B$36,COLUMNS($D17:M17)))</f>
        <v>4/10</v>
      </c>
      <c r="N17" s="85" t="str" cm="1">
        <f t="array" ref="N17">IF(OR($A17="",COLUMNS($D17:N17)&gt;Management!$C$4),"",N(INDEX(Dashboard!$C$2:$AF$31,MATCH(LARGE(Dashboard!$AI$2:$AI$31,$A17),Dashboard!$AI$2:$AI$31,0),COLUMNS($D17:N17)))&amp;"/"&amp;INDEX(Management!$B$7:$B$36,COLUMNS($D17:N17)))</f>
        <v>0/5</v>
      </c>
      <c r="O17" s="85" t="str" cm="1">
        <f t="array" ref="O17">IF(OR($A17="",COLUMNS($D17:O17)&gt;Management!$C$4),"",N(INDEX(Dashboard!$C$2:$AF$31,MATCH(LARGE(Dashboard!$AI$2:$AI$31,$A17),Dashboard!$AI$2:$AI$31,0),COLUMNS($D17:O17)))&amp;"/"&amp;INDEX(Management!$B$7:$B$36,COLUMNS($D17:O17)))</f>
        <v>4/10</v>
      </c>
      <c r="P17" s="85" t="str" cm="1">
        <f t="array" ref="P17">IF(OR($A17="",COLUMNS($D17:P17)&gt;Management!$C$4),"",N(INDEX(Dashboard!$C$2:$AF$31,MATCH(LARGE(Dashboard!$AI$2:$AI$31,$A17),Dashboard!$AI$2:$AI$31,0),COLUMNS($D17:P17)))&amp;"/"&amp;INDEX(Management!$B$7:$B$36,COLUMNS($D17:P17)))</f>
        <v>4/10</v>
      </c>
      <c r="Q17" s="85" t="str" cm="1">
        <f t="array" ref="Q17">IF(OR($A17="",COLUMNS($D17:Q17)&gt;Management!$C$4),"",N(INDEX(Dashboard!$C$2:$AF$31,MATCH(LARGE(Dashboard!$AI$2:$AI$31,$A17),Dashboard!$AI$2:$AI$31,0),COLUMNS($D17:Q17)))&amp;"/"&amp;INDEX(Management!$B$7:$B$36,COLUMNS($D17:Q17)))</f>
        <v/>
      </c>
      <c r="R17" s="85" t="str" cm="1">
        <f t="array" ref="R17">IF(OR($A17="",COLUMNS($D17:R17)&gt;Management!$C$4),"",N(INDEX(Dashboard!$C$2:$AF$31,MATCH(LARGE(Dashboard!$AI$2:$AI$31,$A17),Dashboard!$AI$2:$AI$31,0),COLUMNS($D17:R17)))&amp;"/"&amp;INDEX(Management!$B$7:$B$36,COLUMNS($D17:R17)))</f>
        <v/>
      </c>
      <c r="S17" s="85" t="str" cm="1">
        <f t="array" ref="S17">IF(OR($A17="",COLUMNS($D17:S17)&gt;Management!$C$4),"",N(INDEX(Dashboard!$C$2:$AF$31,MATCH(LARGE(Dashboard!$AI$2:$AI$31,$A17),Dashboard!$AI$2:$AI$31,0),COLUMNS($D17:S17)))&amp;"/"&amp;INDEX(Management!$B$7:$B$36,COLUMNS($D17:S17)))</f>
        <v/>
      </c>
      <c r="T17" s="85" t="str" cm="1">
        <f t="array" ref="T17">IF(OR($A17="",COLUMNS($D17:T17)&gt;Management!$C$4),"",N(INDEX(Dashboard!$C$2:$AF$31,MATCH(LARGE(Dashboard!$AI$2:$AI$31,$A17),Dashboard!$AI$2:$AI$31,0),COLUMNS($D17:T17)))&amp;"/"&amp;INDEX(Management!$B$7:$B$36,COLUMNS($D17:T17)))</f>
        <v/>
      </c>
      <c r="U17" s="85" t="str" cm="1">
        <f t="array" ref="U17">IF(OR($A17="",COLUMNS($D17:U17)&gt;Management!$C$4),"",N(INDEX(Dashboard!$C$2:$AF$31,MATCH(LARGE(Dashboard!$AI$2:$AI$31,$A17),Dashboard!$AI$2:$AI$31,0),COLUMNS($D17:U17)))&amp;"/"&amp;INDEX(Management!$B$7:$B$36,COLUMNS($D17:U17)))</f>
        <v/>
      </c>
      <c r="V17" s="85" t="str" cm="1">
        <f t="array" ref="V17">IF(OR($A17="",COLUMNS($D17:V17)&gt;Management!$C$4),"",N(INDEX(Dashboard!$C$2:$AF$31,MATCH(LARGE(Dashboard!$AI$2:$AI$31,$A17),Dashboard!$AI$2:$AI$31,0),COLUMNS($D17:V17)))&amp;"/"&amp;INDEX(Management!$B$7:$B$36,COLUMNS($D17:V17)))</f>
        <v/>
      </c>
      <c r="W17" s="85" t="str" cm="1">
        <f t="array" ref="W17">IF(OR($A17="",COLUMNS($D17:W17)&gt;Management!$C$4),"",N(INDEX(Dashboard!$C$2:$AF$31,MATCH(LARGE(Dashboard!$AI$2:$AI$31,$A17),Dashboard!$AI$2:$AI$31,0),COLUMNS($D17:W17)))&amp;"/"&amp;INDEX(Management!$B$7:$B$36,COLUMNS($D17:W17)))</f>
        <v/>
      </c>
      <c r="X17" s="85" t="str" cm="1">
        <f t="array" ref="X17">IF(OR($A17="",COLUMNS($D17:X17)&gt;Management!$C$4),"",N(INDEX(Dashboard!$C$2:$AF$31,MATCH(LARGE(Dashboard!$AI$2:$AI$31,$A17),Dashboard!$AI$2:$AI$31,0),COLUMNS($D17:X17)))&amp;"/"&amp;INDEX(Management!$B$7:$B$36,COLUMNS($D17:X17)))</f>
        <v/>
      </c>
      <c r="Y17" s="85" t="str" cm="1">
        <f t="array" ref="Y17">IF(OR($A17="",COLUMNS($D17:Y17)&gt;Management!$C$4),"",N(INDEX(Dashboard!$C$2:$AF$31,MATCH(LARGE(Dashboard!$AI$2:$AI$31,$A17),Dashboard!$AI$2:$AI$31,0),COLUMNS($D17:Y17)))&amp;"/"&amp;INDEX(Management!$B$7:$B$36,COLUMNS($D17:Y17)))</f>
        <v/>
      </c>
      <c r="Z17" s="85" t="str" cm="1">
        <f t="array" ref="Z17">IF(OR($A17="",COLUMNS($D17:Z17)&gt;Management!$C$4),"",N(INDEX(Dashboard!$C$2:$AF$31,MATCH(LARGE(Dashboard!$AI$2:$AI$31,$A17),Dashboard!$AI$2:$AI$31,0),COLUMNS($D17:Z17)))&amp;"/"&amp;INDEX(Management!$B$7:$B$36,COLUMNS($D17:Z17)))</f>
        <v/>
      </c>
      <c r="AA17" s="85" t="str" cm="1">
        <f t="array" ref="AA17">IF(OR($A17="",COLUMNS($D17:AA17)&gt;Management!$C$4),"",N(INDEX(Dashboard!$C$2:$AF$31,MATCH(LARGE(Dashboard!$AI$2:$AI$31,$A17),Dashboard!$AI$2:$AI$31,0),COLUMNS($D17:AA17)))&amp;"/"&amp;INDEX(Management!$B$7:$B$36,COLUMNS($D17:AA17)))</f>
        <v/>
      </c>
      <c r="AB17" s="85" t="str" cm="1">
        <f t="array" ref="AB17">IF(OR($A17="",COLUMNS($D17:AB17)&gt;Management!$C$4),"",N(INDEX(Dashboard!$C$2:$AF$31,MATCH(LARGE(Dashboard!$AI$2:$AI$31,$A17),Dashboard!$AI$2:$AI$31,0),COLUMNS($D17:AB17)))&amp;"/"&amp;INDEX(Management!$B$7:$B$36,COLUMNS($D17:AB17)))</f>
        <v/>
      </c>
      <c r="AC17" s="85" t="str" cm="1">
        <f t="array" ref="AC17">IF(OR($A17="",COLUMNS($D17:AC17)&gt;Management!$C$4),"",N(INDEX(Dashboard!$C$2:$AF$31,MATCH(LARGE(Dashboard!$AI$2:$AI$31,$A17),Dashboard!$AI$2:$AI$31,0),COLUMNS($D17:AC17)))&amp;"/"&amp;INDEX(Management!$B$7:$B$36,COLUMNS($D17:AC17)))</f>
        <v/>
      </c>
      <c r="AD17" s="85" t="str" cm="1">
        <f t="array" ref="AD17">IF(OR($A17="",COLUMNS($D17:AD17)&gt;Management!$C$4),"",N(INDEX(Dashboard!$C$2:$AF$31,MATCH(LARGE(Dashboard!$AI$2:$AI$31,$A17),Dashboard!$AI$2:$AI$31,0),COLUMNS($D17:AD17)))&amp;"/"&amp;INDEX(Management!$B$7:$B$36,COLUMNS($D17:AD17)))</f>
        <v/>
      </c>
      <c r="AE17" s="85" t="str" cm="1">
        <f t="array" ref="AE17">IF(OR($A17="",COLUMNS($D17:AE17)&gt;Management!$C$4),"",N(INDEX(Dashboard!$C$2:$AF$31,MATCH(LARGE(Dashboard!$AI$2:$AI$31,$A17),Dashboard!$AI$2:$AI$31,0),COLUMNS($D17:AE17)))&amp;"/"&amp;INDEX(Management!$B$7:$B$36,COLUMNS($D17:AE17)))</f>
        <v/>
      </c>
      <c r="AF17" s="85" t="str" cm="1">
        <f t="array" ref="AF17">IF(OR($A17="",COLUMNS($D17:AF17)&gt;Management!$C$4),"",N(INDEX(Dashboard!$C$2:$AF$31,MATCH(LARGE(Dashboard!$AI$2:$AI$31,$A17),Dashboard!$AI$2:$AI$31,0),COLUMNS($D17:AF17)))&amp;"/"&amp;INDEX(Management!$B$7:$B$36,COLUMNS($D17:AF17)))</f>
        <v/>
      </c>
      <c r="AG17" s="86" t="str" cm="1">
        <f t="array" ref="AG17">IF(OR($A17="",COLUMNS($D17:AG17)&gt;Management!$C$4),"",N(INDEX(Dashboard!$C$2:$AF$31,MATCH(LARGE(Dashboard!$AI$2:$AI$31,$A17),Dashboard!$AI$2:$AI$31,0),COLUMNS($D17:AG17)))&amp;"/"&amp;INDEX(Management!$B$7:$B$36,COLUMNS($D17:AG17)))</f>
        <v/>
      </c>
    </row>
    <row r="18" spans="1:33" ht="24" customHeight="1" x14ac:dyDescent="0.45">
      <c r="A18" s="81">
        <f>IF(ROWS($A$2:A18)&gt;COUNTA(Management!$F$7:$F$36),"",ROWS($A$2:A18))</f>
        <v>17</v>
      </c>
      <c r="B18" s="95" t="str">
        <f>IF($A18="","",INDEX(Dashboard!$A$2:$A$31,MATCH(LARGE(Dashboard!$AI$2:$AI$31,$A18),Dashboard!$AI$2:$AI$31,0)))</f>
        <v>De Hossende Haringen</v>
      </c>
      <c r="C18" s="110" t="str">
        <f>IF($A18="","",INDEX(Dashboard!$AG$2:$AG$31,MATCH(LARGE(Dashboard!$AI$2:$AI$31,$A18),Dashboard!$AI$2:$AI$31,0))&amp;" / "&amp;INDEX(Dashboard!$AH$2:$AH$31,MATCH(LARGE(Dashboard!$AI$2:$AI$31,$A18),Dashboard!$AI$2:$AI$31,0)))</f>
        <v>67 / 140</v>
      </c>
      <c r="D18" s="102" t="str" cm="1">
        <f t="array" ref="D18">IF(OR($A18="",COLUMNS($D18:D18)&gt;Management!$C$4),"",N(INDEX(Dashboard!$C$2:$AF$31,MATCH(LARGE(Dashboard!$AI$2:$AI$31,$A18),Dashboard!$AI$2:$AI$31,0),COLUMNS($D18:D18)))&amp;"/"&amp;INDEX(Management!$B$7:$B$36,COLUMNS($D18:D18)))</f>
        <v>2/10</v>
      </c>
      <c r="E18" s="82" t="str" cm="1">
        <f t="array" ref="E18">IF(OR($A18="",COLUMNS($D18:E18)&gt;Management!$C$4),"",N(INDEX(Dashboard!$C$2:$AF$31,MATCH(LARGE(Dashboard!$AI$2:$AI$31,$A18),Dashboard!$AI$2:$AI$31,0),COLUMNS($D18:E18)))&amp;"/"&amp;INDEX(Management!$B$7:$B$36,COLUMNS($D18:E18)))</f>
        <v>9/10</v>
      </c>
      <c r="F18" s="82" t="str" cm="1">
        <f t="array" ref="F18">IF(OR($A18="",COLUMNS($D18:F18)&gt;Management!$C$4),"",N(INDEX(Dashboard!$C$2:$AF$31,MATCH(LARGE(Dashboard!$AI$2:$AI$31,$A18),Dashboard!$AI$2:$AI$31,0),COLUMNS($D18:F18)))&amp;"/"&amp;INDEX(Management!$B$7:$B$36,COLUMNS($D18:F18)))</f>
        <v>8/10</v>
      </c>
      <c r="G18" s="82" t="str" cm="1">
        <f t="array" ref="G18">IF(OR($A18="",COLUMNS($D18:G18)&gt;Management!$C$4),"",N(INDEX(Dashboard!$C$2:$AF$31,MATCH(LARGE(Dashboard!$AI$2:$AI$31,$A18),Dashboard!$AI$2:$AI$31,0),COLUMNS($D18:G18)))&amp;"/"&amp;INDEX(Management!$B$7:$B$36,COLUMNS($D18:G18)))</f>
        <v>3/20</v>
      </c>
      <c r="H18" s="82" t="str" cm="1">
        <f t="array" ref="H18">IF(OR($A18="",COLUMNS($D18:H18)&gt;Management!$C$4),"",N(INDEX(Dashboard!$C$2:$AF$31,MATCH(LARGE(Dashboard!$AI$2:$AI$31,$A18),Dashboard!$AI$2:$AI$31,0),COLUMNS($D18:H18)))&amp;"/"&amp;INDEX(Management!$B$7:$B$36,COLUMNS($D18:H18)))</f>
        <v>10/10</v>
      </c>
      <c r="I18" s="82" t="str" cm="1">
        <f t="array" ref="I18">IF(OR($A18="",COLUMNS($D18:I18)&gt;Management!$C$4),"",N(INDEX(Dashboard!$C$2:$AF$31,MATCH(LARGE(Dashboard!$AI$2:$AI$31,$A18),Dashboard!$AI$2:$AI$31,0),COLUMNS($D18:I18)))&amp;"/"&amp;INDEX(Management!$B$7:$B$36,COLUMNS($D18:I18)))</f>
        <v>0/10</v>
      </c>
      <c r="J18" s="82" t="str" cm="1">
        <f t="array" ref="J18">IF(OR($A18="",COLUMNS($D18:J18)&gt;Management!$C$4),"",N(INDEX(Dashboard!$C$2:$AF$31,MATCH(LARGE(Dashboard!$AI$2:$AI$31,$A18),Dashboard!$AI$2:$AI$31,0),COLUMNS($D18:J18)))&amp;"/"&amp;INDEX(Management!$B$7:$B$36,COLUMNS($D18:J18)))</f>
        <v>5/10</v>
      </c>
      <c r="K18" s="82" t="str" cm="1">
        <f t="array" ref="K18">IF(OR($A18="",COLUMNS($D18:K18)&gt;Management!$C$4),"",N(INDEX(Dashboard!$C$2:$AF$31,MATCH(LARGE(Dashboard!$AI$2:$AI$31,$A18),Dashboard!$AI$2:$AI$31,0),COLUMNS($D18:K18)))&amp;"/"&amp;INDEX(Management!$B$7:$B$36,COLUMNS($D18:K18)))</f>
        <v>9/15</v>
      </c>
      <c r="L18" s="82" t="str" cm="1">
        <f t="array" ref="L18">IF(OR($A18="",COLUMNS($D18:L18)&gt;Management!$C$4),"",N(INDEX(Dashboard!$C$2:$AF$31,MATCH(LARGE(Dashboard!$AI$2:$AI$31,$A18),Dashboard!$AI$2:$AI$31,0),COLUMNS($D18:L18)))&amp;"/"&amp;INDEX(Management!$B$7:$B$36,COLUMNS($D18:L18)))</f>
        <v>5/10</v>
      </c>
      <c r="M18" s="82" t="str" cm="1">
        <f t="array" ref="M18">IF(OR($A18="",COLUMNS($D18:M18)&gt;Management!$C$4),"",N(INDEX(Dashboard!$C$2:$AF$31,MATCH(LARGE(Dashboard!$AI$2:$AI$31,$A18),Dashboard!$AI$2:$AI$31,0),COLUMNS($D18:M18)))&amp;"/"&amp;INDEX(Management!$B$7:$B$36,COLUMNS($D18:M18)))</f>
        <v>5/10</v>
      </c>
      <c r="N18" s="82" t="str" cm="1">
        <f t="array" ref="N18">IF(OR($A18="",COLUMNS($D18:N18)&gt;Management!$C$4),"",N(INDEX(Dashboard!$C$2:$AF$31,MATCH(LARGE(Dashboard!$AI$2:$AI$31,$A18),Dashboard!$AI$2:$AI$31,0),COLUMNS($D18:N18)))&amp;"/"&amp;INDEX(Management!$B$7:$B$36,COLUMNS($D18:N18)))</f>
        <v>1/5</v>
      </c>
      <c r="O18" s="82" t="str" cm="1">
        <f t="array" ref="O18">IF(OR($A18="",COLUMNS($D18:O18)&gt;Management!$C$4),"",N(INDEX(Dashboard!$C$2:$AF$31,MATCH(LARGE(Dashboard!$AI$2:$AI$31,$A18),Dashboard!$AI$2:$AI$31,0),COLUMNS($D18:O18)))&amp;"/"&amp;INDEX(Management!$B$7:$B$36,COLUMNS($D18:O18)))</f>
        <v>5/10</v>
      </c>
      <c r="P18" s="82" t="str" cm="1">
        <f t="array" ref="P18">IF(OR($A18="",COLUMNS($D18:P18)&gt;Management!$C$4),"",N(INDEX(Dashboard!$C$2:$AF$31,MATCH(LARGE(Dashboard!$AI$2:$AI$31,$A18),Dashboard!$AI$2:$AI$31,0),COLUMNS($D18:P18)))&amp;"/"&amp;INDEX(Management!$B$7:$B$36,COLUMNS($D18:P18)))</f>
        <v>5/10</v>
      </c>
      <c r="Q18" s="82" t="str" cm="1">
        <f t="array" ref="Q18">IF(OR($A18="",COLUMNS($D18:Q18)&gt;Management!$C$4),"",N(INDEX(Dashboard!$C$2:$AF$31,MATCH(LARGE(Dashboard!$AI$2:$AI$31,$A18),Dashboard!$AI$2:$AI$31,0),COLUMNS($D18:Q18)))&amp;"/"&amp;INDEX(Management!$B$7:$B$36,COLUMNS($D18:Q18)))</f>
        <v/>
      </c>
      <c r="R18" s="82" t="str" cm="1">
        <f t="array" ref="R18">IF(OR($A18="",COLUMNS($D18:R18)&gt;Management!$C$4),"",N(INDEX(Dashboard!$C$2:$AF$31,MATCH(LARGE(Dashboard!$AI$2:$AI$31,$A18),Dashboard!$AI$2:$AI$31,0),COLUMNS($D18:R18)))&amp;"/"&amp;INDEX(Management!$B$7:$B$36,COLUMNS($D18:R18)))</f>
        <v/>
      </c>
      <c r="S18" s="82" t="str" cm="1">
        <f t="array" ref="S18">IF(OR($A18="",COLUMNS($D18:S18)&gt;Management!$C$4),"",N(INDEX(Dashboard!$C$2:$AF$31,MATCH(LARGE(Dashboard!$AI$2:$AI$31,$A18),Dashboard!$AI$2:$AI$31,0),COLUMNS($D18:S18)))&amp;"/"&amp;INDEX(Management!$B$7:$B$36,COLUMNS($D18:S18)))</f>
        <v/>
      </c>
      <c r="T18" s="82" t="str" cm="1">
        <f t="array" ref="T18">IF(OR($A18="",COLUMNS($D18:T18)&gt;Management!$C$4),"",N(INDEX(Dashboard!$C$2:$AF$31,MATCH(LARGE(Dashboard!$AI$2:$AI$31,$A18),Dashboard!$AI$2:$AI$31,0),COLUMNS($D18:T18)))&amp;"/"&amp;INDEX(Management!$B$7:$B$36,COLUMNS($D18:T18)))</f>
        <v/>
      </c>
      <c r="U18" s="82" t="str" cm="1">
        <f t="array" ref="U18">IF(OR($A18="",COLUMNS($D18:U18)&gt;Management!$C$4),"",N(INDEX(Dashboard!$C$2:$AF$31,MATCH(LARGE(Dashboard!$AI$2:$AI$31,$A18),Dashboard!$AI$2:$AI$31,0),COLUMNS($D18:U18)))&amp;"/"&amp;INDEX(Management!$B$7:$B$36,COLUMNS($D18:U18)))</f>
        <v/>
      </c>
      <c r="V18" s="82" t="str" cm="1">
        <f t="array" ref="V18">IF(OR($A18="",COLUMNS($D18:V18)&gt;Management!$C$4),"",N(INDEX(Dashboard!$C$2:$AF$31,MATCH(LARGE(Dashboard!$AI$2:$AI$31,$A18),Dashboard!$AI$2:$AI$31,0),COLUMNS($D18:V18)))&amp;"/"&amp;INDEX(Management!$B$7:$B$36,COLUMNS($D18:V18)))</f>
        <v/>
      </c>
      <c r="W18" s="82" t="str" cm="1">
        <f t="array" ref="W18">IF(OR($A18="",COLUMNS($D18:W18)&gt;Management!$C$4),"",N(INDEX(Dashboard!$C$2:$AF$31,MATCH(LARGE(Dashboard!$AI$2:$AI$31,$A18),Dashboard!$AI$2:$AI$31,0),COLUMNS($D18:W18)))&amp;"/"&amp;INDEX(Management!$B$7:$B$36,COLUMNS($D18:W18)))</f>
        <v/>
      </c>
      <c r="X18" s="82" t="str" cm="1">
        <f t="array" ref="X18">IF(OR($A18="",COLUMNS($D18:X18)&gt;Management!$C$4),"",N(INDEX(Dashboard!$C$2:$AF$31,MATCH(LARGE(Dashboard!$AI$2:$AI$31,$A18),Dashboard!$AI$2:$AI$31,0),COLUMNS($D18:X18)))&amp;"/"&amp;INDEX(Management!$B$7:$B$36,COLUMNS($D18:X18)))</f>
        <v/>
      </c>
      <c r="Y18" s="82" t="str" cm="1">
        <f t="array" ref="Y18">IF(OR($A18="",COLUMNS($D18:Y18)&gt;Management!$C$4),"",N(INDEX(Dashboard!$C$2:$AF$31,MATCH(LARGE(Dashboard!$AI$2:$AI$31,$A18),Dashboard!$AI$2:$AI$31,0),COLUMNS($D18:Y18)))&amp;"/"&amp;INDEX(Management!$B$7:$B$36,COLUMNS($D18:Y18)))</f>
        <v/>
      </c>
      <c r="Z18" s="82" t="str" cm="1">
        <f t="array" ref="Z18">IF(OR($A18="",COLUMNS($D18:Z18)&gt;Management!$C$4),"",N(INDEX(Dashboard!$C$2:$AF$31,MATCH(LARGE(Dashboard!$AI$2:$AI$31,$A18),Dashboard!$AI$2:$AI$31,0),COLUMNS($D18:Z18)))&amp;"/"&amp;INDEX(Management!$B$7:$B$36,COLUMNS($D18:Z18)))</f>
        <v/>
      </c>
      <c r="AA18" s="82" t="str" cm="1">
        <f t="array" ref="AA18">IF(OR($A18="",COLUMNS($D18:AA18)&gt;Management!$C$4),"",N(INDEX(Dashboard!$C$2:$AF$31,MATCH(LARGE(Dashboard!$AI$2:$AI$31,$A18),Dashboard!$AI$2:$AI$31,0),COLUMNS($D18:AA18)))&amp;"/"&amp;INDEX(Management!$B$7:$B$36,COLUMNS($D18:AA18)))</f>
        <v/>
      </c>
      <c r="AB18" s="82" t="str" cm="1">
        <f t="array" ref="AB18">IF(OR($A18="",COLUMNS($D18:AB18)&gt;Management!$C$4),"",N(INDEX(Dashboard!$C$2:$AF$31,MATCH(LARGE(Dashboard!$AI$2:$AI$31,$A18),Dashboard!$AI$2:$AI$31,0),COLUMNS($D18:AB18)))&amp;"/"&amp;INDEX(Management!$B$7:$B$36,COLUMNS($D18:AB18)))</f>
        <v/>
      </c>
      <c r="AC18" s="82" t="str" cm="1">
        <f t="array" ref="AC18">IF(OR($A18="",COLUMNS($D18:AC18)&gt;Management!$C$4),"",N(INDEX(Dashboard!$C$2:$AF$31,MATCH(LARGE(Dashboard!$AI$2:$AI$31,$A18),Dashboard!$AI$2:$AI$31,0),COLUMNS($D18:AC18)))&amp;"/"&amp;INDEX(Management!$B$7:$B$36,COLUMNS($D18:AC18)))</f>
        <v/>
      </c>
      <c r="AD18" s="82" t="str" cm="1">
        <f t="array" ref="AD18">IF(OR($A18="",COLUMNS($D18:AD18)&gt;Management!$C$4),"",N(INDEX(Dashboard!$C$2:$AF$31,MATCH(LARGE(Dashboard!$AI$2:$AI$31,$A18),Dashboard!$AI$2:$AI$31,0),COLUMNS($D18:AD18)))&amp;"/"&amp;INDEX(Management!$B$7:$B$36,COLUMNS($D18:AD18)))</f>
        <v/>
      </c>
      <c r="AE18" s="82" t="str" cm="1">
        <f t="array" ref="AE18">IF(OR($A18="",COLUMNS($D18:AE18)&gt;Management!$C$4),"",N(INDEX(Dashboard!$C$2:$AF$31,MATCH(LARGE(Dashboard!$AI$2:$AI$31,$A18),Dashboard!$AI$2:$AI$31,0),COLUMNS($D18:AE18)))&amp;"/"&amp;INDEX(Management!$B$7:$B$36,COLUMNS($D18:AE18)))</f>
        <v/>
      </c>
      <c r="AF18" s="82" t="str" cm="1">
        <f t="array" ref="AF18">IF(OR($A18="",COLUMNS($D18:AF18)&gt;Management!$C$4),"",N(INDEX(Dashboard!$C$2:$AF$31,MATCH(LARGE(Dashboard!$AI$2:$AI$31,$A18),Dashboard!$AI$2:$AI$31,0),COLUMNS($D18:AF18)))&amp;"/"&amp;INDEX(Management!$B$7:$B$36,COLUMNS($D18:AF18)))</f>
        <v/>
      </c>
      <c r="AG18" s="83" t="str" cm="1">
        <f t="array" ref="AG18">IF(OR($A18="",COLUMNS($D18:AG18)&gt;Management!$C$4),"",N(INDEX(Dashboard!$C$2:$AF$31,MATCH(LARGE(Dashboard!$AI$2:$AI$31,$A18),Dashboard!$AI$2:$AI$31,0),COLUMNS($D18:AG18)))&amp;"/"&amp;INDEX(Management!$B$7:$B$36,COLUMNS($D18:AG18)))</f>
        <v/>
      </c>
    </row>
    <row r="19" spans="1:33" ht="24" customHeight="1" x14ac:dyDescent="0.45">
      <c r="A19" s="84">
        <f>IF(ROWS($A$2:A19)&gt;COUNTA(Management!$F$7:$F$36),"",ROWS($A$2:A19))</f>
        <v>18</v>
      </c>
      <c r="B19" s="96" t="str">
        <f>IF($A19="","",INDEX(Dashboard!$A$2:$A$31,MATCH(LARGE(Dashboard!$AI$2:$AI$31,$A19),Dashboard!$AI$2:$AI$31,0)))</f>
        <v>Team21</v>
      </c>
      <c r="C19" s="110" t="str">
        <f>IF($A19="","",INDEX(Dashboard!$AG$2:$AG$31,MATCH(LARGE(Dashboard!$AI$2:$AI$31,$A19),Dashboard!$AI$2:$AI$31,0))&amp;" / "&amp;INDEX(Dashboard!$AH$2:$AH$31,MATCH(LARGE(Dashboard!$AI$2:$AI$31,$A19),Dashboard!$AI$2:$AI$31,0)))</f>
        <v>67 / 140</v>
      </c>
      <c r="D19" s="103" t="str" cm="1">
        <f t="array" ref="D19">IF(OR($A19="",COLUMNS($D19:D19)&gt;Management!$C$4),"",N(INDEX(Dashboard!$C$2:$AF$31,MATCH(LARGE(Dashboard!$AI$2:$AI$31,$A19),Dashboard!$AI$2:$AI$31,0),COLUMNS($D19:D19)))&amp;"/"&amp;INDEX(Management!$B$7:$B$36,COLUMNS($D19:D19)))</f>
        <v>2/10</v>
      </c>
      <c r="E19" s="85" t="str" cm="1">
        <f t="array" ref="E19">IF(OR($A19="",COLUMNS($D19:E19)&gt;Management!$C$4),"",N(INDEX(Dashboard!$C$2:$AF$31,MATCH(LARGE(Dashboard!$AI$2:$AI$31,$A19),Dashboard!$AI$2:$AI$31,0),COLUMNS($D19:E19)))&amp;"/"&amp;INDEX(Management!$B$7:$B$36,COLUMNS($D19:E19)))</f>
        <v>9/10</v>
      </c>
      <c r="F19" s="85" t="str" cm="1">
        <f t="array" ref="F19">IF(OR($A19="",COLUMNS($D19:F19)&gt;Management!$C$4),"",N(INDEX(Dashboard!$C$2:$AF$31,MATCH(LARGE(Dashboard!$AI$2:$AI$31,$A19),Dashboard!$AI$2:$AI$31,0),COLUMNS($D19:F19)))&amp;"/"&amp;INDEX(Management!$B$7:$B$36,COLUMNS($D19:F19)))</f>
        <v>8/10</v>
      </c>
      <c r="G19" s="85" t="str" cm="1">
        <f t="array" ref="G19">IF(OR($A19="",COLUMNS($D19:G19)&gt;Management!$C$4),"",N(INDEX(Dashboard!$C$2:$AF$31,MATCH(LARGE(Dashboard!$AI$2:$AI$31,$A19),Dashboard!$AI$2:$AI$31,0),COLUMNS($D19:G19)))&amp;"/"&amp;INDEX(Management!$B$7:$B$36,COLUMNS($D19:G19)))</f>
        <v>3/20</v>
      </c>
      <c r="H19" s="85" t="str" cm="1">
        <f t="array" ref="H19">IF(OR($A19="",COLUMNS($D19:H19)&gt;Management!$C$4),"",N(INDEX(Dashboard!$C$2:$AF$31,MATCH(LARGE(Dashboard!$AI$2:$AI$31,$A19),Dashboard!$AI$2:$AI$31,0),COLUMNS($D19:H19)))&amp;"/"&amp;INDEX(Management!$B$7:$B$36,COLUMNS($D19:H19)))</f>
        <v>10/10</v>
      </c>
      <c r="I19" s="85" t="str" cm="1">
        <f t="array" ref="I19">IF(OR($A19="",COLUMNS($D19:I19)&gt;Management!$C$4),"",N(INDEX(Dashboard!$C$2:$AF$31,MATCH(LARGE(Dashboard!$AI$2:$AI$31,$A19),Dashboard!$AI$2:$AI$31,0),COLUMNS($D19:I19)))&amp;"/"&amp;INDEX(Management!$B$7:$B$36,COLUMNS($D19:I19)))</f>
        <v>0/10</v>
      </c>
      <c r="J19" s="85" t="str" cm="1">
        <f t="array" ref="J19">IF(OR($A19="",COLUMNS($D19:J19)&gt;Management!$C$4),"",N(INDEX(Dashboard!$C$2:$AF$31,MATCH(LARGE(Dashboard!$AI$2:$AI$31,$A19),Dashboard!$AI$2:$AI$31,0),COLUMNS($D19:J19)))&amp;"/"&amp;INDEX(Management!$B$7:$B$36,COLUMNS($D19:J19)))</f>
        <v>5/10</v>
      </c>
      <c r="K19" s="85" t="str" cm="1">
        <f t="array" ref="K19">IF(OR($A19="",COLUMNS($D19:K19)&gt;Management!$C$4),"",N(INDEX(Dashboard!$C$2:$AF$31,MATCH(LARGE(Dashboard!$AI$2:$AI$31,$A19),Dashboard!$AI$2:$AI$31,0),COLUMNS($D19:K19)))&amp;"/"&amp;INDEX(Management!$B$7:$B$36,COLUMNS($D19:K19)))</f>
        <v>9/15</v>
      </c>
      <c r="L19" s="85" t="str" cm="1">
        <f t="array" ref="L19">IF(OR($A19="",COLUMNS($D19:L19)&gt;Management!$C$4),"",N(INDEX(Dashboard!$C$2:$AF$31,MATCH(LARGE(Dashboard!$AI$2:$AI$31,$A19),Dashboard!$AI$2:$AI$31,0),COLUMNS($D19:L19)))&amp;"/"&amp;INDEX(Management!$B$7:$B$36,COLUMNS($D19:L19)))</f>
        <v>5/10</v>
      </c>
      <c r="M19" s="85" t="str" cm="1">
        <f t="array" ref="M19">IF(OR($A19="",COLUMNS($D19:M19)&gt;Management!$C$4),"",N(INDEX(Dashboard!$C$2:$AF$31,MATCH(LARGE(Dashboard!$AI$2:$AI$31,$A19),Dashboard!$AI$2:$AI$31,0),COLUMNS($D19:M19)))&amp;"/"&amp;INDEX(Management!$B$7:$B$36,COLUMNS($D19:M19)))</f>
        <v>5/10</v>
      </c>
      <c r="N19" s="85" t="str" cm="1">
        <f t="array" ref="N19">IF(OR($A19="",COLUMNS($D19:N19)&gt;Management!$C$4),"",N(INDEX(Dashboard!$C$2:$AF$31,MATCH(LARGE(Dashboard!$AI$2:$AI$31,$A19),Dashboard!$AI$2:$AI$31,0),COLUMNS($D19:N19)))&amp;"/"&amp;INDEX(Management!$B$7:$B$36,COLUMNS($D19:N19)))</f>
        <v>1/5</v>
      </c>
      <c r="O19" s="85" t="str" cm="1">
        <f t="array" ref="O19">IF(OR($A19="",COLUMNS($D19:O19)&gt;Management!$C$4),"",N(INDEX(Dashboard!$C$2:$AF$31,MATCH(LARGE(Dashboard!$AI$2:$AI$31,$A19),Dashboard!$AI$2:$AI$31,0),COLUMNS($D19:O19)))&amp;"/"&amp;INDEX(Management!$B$7:$B$36,COLUMNS($D19:O19)))</f>
        <v>5/10</v>
      </c>
      <c r="P19" s="85" t="str" cm="1">
        <f t="array" ref="P19">IF(OR($A19="",COLUMNS($D19:P19)&gt;Management!$C$4),"",N(INDEX(Dashboard!$C$2:$AF$31,MATCH(LARGE(Dashboard!$AI$2:$AI$31,$A19),Dashboard!$AI$2:$AI$31,0),COLUMNS($D19:P19)))&amp;"/"&amp;INDEX(Management!$B$7:$B$36,COLUMNS($D19:P19)))</f>
        <v>5/10</v>
      </c>
      <c r="Q19" s="85" t="str" cm="1">
        <f t="array" ref="Q19">IF(OR($A19="",COLUMNS($D19:Q19)&gt;Management!$C$4),"",N(INDEX(Dashboard!$C$2:$AF$31,MATCH(LARGE(Dashboard!$AI$2:$AI$31,$A19),Dashboard!$AI$2:$AI$31,0),COLUMNS($D19:Q19)))&amp;"/"&amp;INDEX(Management!$B$7:$B$36,COLUMNS($D19:Q19)))</f>
        <v/>
      </c>
      <c r="R19" s="85" t="str" cm="1">
        <f t="array" ref="R19">IF(OR($A19="",COLUMNS($D19:R19)&gt;Management!$C$4),"",N(INDEX(Dashboard!$C$2:$AF$31,MATCH(LARGE(Dashboard!$AI$2:$AI$31,$A19),Dashboard!$AI$2:$AI$31,0),COLUMNS($D19:R19)))&amp;"/"&amp;INDEX(Management!$B$7:$B$36,COLUMNS($D19:R19)))</f>
        <v/>
      </c>
      <c r="S19" s="85" t="str" cm="1">
        <f t="array" ref="S19">IF(OR($A19="",COLUMNS($D19:S19)&gt;Management!$C$4),"",N(INDEX(Dashboard!$C$2:$AF$31,MATCH(LARGE(Dashboard!$AI$2:$AI$31,$A19),Dashboard!$AI$2:$AI$31,0),COLUMNS($D19:S19)))&amp;"/"&amp;INDEX(Management!$B$7:$B$36,COLUMNS($D19:S19)))</f>
        <v/>
      </c>
      <c r="T19" s="85" t="str" cm="1">
        <f t="array" ref="T19">IF(OR($A19="",COLUMNS($D19:T19)&gt;Management!$C$4),"",N(INDEX(Dashboard!$C$2:$AF$31,MATCH(LARGE(Dashboard!$AI$2:$AI$31,$A19),Dashboard!$AI$2:$AI$31,0),COLUMNS($D19:T19)))&amp;"/"&amp;INDEX(Management!$B$7:$B$36,COLUMNS($D19:T19)))</f>
        <v/>
      </c>
      <c r="U19" s="85" t="str" cm="1">
        <f t="array" ref="U19">IF(OR($A19="",COLUMNS($D19:U19)&gt;Management!$C$4),"",N(INDEX(Dashboard!$C$2:$AF$31,MATCH(LARGE(Dashboard!$AI$2:$AI$31,$A19),Dashboard!$AI$2:$AI$31,0),COLUMNS($D19:U19)))&amp;"/"&amp;INDEX(Management!$B$7:$B$36,COLUMNS($D19:U19)))</f>
        <v/>
      </c>
      <c r="V19" s="85" t="str" cm="1">
        <f t="array" ref="V19">IF(OR($A19="",COLUMNS($D19:V19)&gt;Management!$C$4),"",N(INDEX(Dashboard!$C$2:$AF$31,MATCH(LARGE(Dashboard!$AI$2:$AI$31,$A19),Dashboard!$AI$2:$AI$31,0),COLUMNS($D19:V19)))&amp;"/"&amp;INDEX(Management!$B$7:$B$36,COLUMNS($D19:V19)))</f>
        <v/>
      </c>
      <c r="W19" s="85" t="str" cm="1">
        <f t="array" ref="W19">IF(OR($A19="",COLUMNS($D19:W19)&gt;Management!$C$4),"",N(INDEX(Dashboard!$C$2:$AF$31,MATCH(LARGE(Dashboard!$AI$2:$AI$31,$A19),Dashboard!$AI$2:$AI$31,0),COLUMNS($D19:W19)))&amp;"/"&amp;INDEX(Management!$B$7:$B$36,COLUMNS($D19:W19)))</f>
        <v/>
      </c>
      <c r="X19" s="85" t="str" cm="1">
        <f t="array" ref="X19">IF(OR($A19="",COLUMNS($D19:X19)&gt;Management!$C$4),"",N(INDEX(Dashboard!$C$2:$AF$31,MATCH(LARGE(Dashboard!$AI$2:$AI$31,$A19),Dashboard!$AI$2:$AI$31,0),COLUMNS($D19:X19)))&amp;"/"&amp;INDEX(Management!$B$7:$B$36,COLUMNS($D19:X19)))</f>
        <v/>
      </c>
      <c r="Y19" s="85" t="str" cm="1">
        <f t="array" ref="Y19">IF(OR($A19="",COLUMNS($D19:Y19)&gt;Management!$C$4),"",N(INDEX(Dashboard!$C$2:$AF$31,MATCH(LARGE(Dashboard!$AI$2:$AI$31,$A19),Dashboard!$AI$2:$AI$31,0),COLUMNS($D19:Y19)))&amp;"/"&amp;INDEX(Management!$B$7:$B$36,COLUMNS($D19:Y19)))</f>
        <v/>
      </c>
      <c r="Z19" s="85" t="str" cm="1">
        <f t="array" ref="Z19">IF(OR($A19="",COLUMNS($D19:Z19)&gt;Management!$C$4),"",N(INDEX(Dashboard!$C$2:$AF$31,MATCH(LARGE(Dashboard!$AI$2:$AI$31,$A19),Dashboard!$AI$2:$AI$31,0),COLUMNS($D19:Z19)))&amp;"/"&amp;INDEX(Management!$B$7:$B$36,COLUMNS($D19:Z19)))</f>
        <v/>
      </c>
      <c r="AA19" s="85" t="str" cm="1">
        <f t="array" ref="AA19">IF(OR($A19="",COLUMNS($D19:AA19)&gt;Management!$C$4),"",N(INDEX(Dashboard!$C$2:$AF$31,MATCH(LARGE(Dashboard!$AI$2:$AI$31,$A19),Dashboard!$AI$2:$AI$31,0),COLUMNS($D19:AA19)))&amp;"/"&amp;INDEX(Management!$B$7:$B$36,COLUMNS($D19:AA19)))</f>
        <v/>
      </c>
      <c r="AB19" s="85" t="str" cm="1">
        <f t="array" ref="AB19">IF(OR($A19="",COLUMNS($D19:AB19)&gt;Management!$C$4),"",N(INDEX(Dashboard!$C$2:$AF$31,MATCH(LARGE(Dashboard!$AI$2:$AI$31,$A19),Dashboard!$AI$2:$AI$31,0),COLUMNS($D19:AB19)))&amp;"/"&amp;INDEX(Management!$B$7:$B$36,COLUMNS($D19:AB19)))</f>
        <v/>
      </c>
      <c r="AC19" s="85" t="str" cm="1">
        <f t="array" ref="AC19">IF(OR($A19="",COLUMNS($D19:AC19)&gt;Management!$C$4),"",N(INDEX(Dashboard!$C$2:$AF$31,MATCH(LARGE(Dashboard!$AI$2:$AI$31,$A19),Dashboard!$AI$2:$AI$31,0),COLUMNS($D19:AC19)))&amp;"/"&amp;INDEX(Management!$B$7:$B$36,COLUMNS($D19:AC19)))</f>
        <v/>
      </c>
      <c r="AD19" s="85" t="str" cm="1">
        <f t="array" ref="AD19">IF(OR($A19="",COLUMNS($D19:AD19)&gt;Management!$C$4),"",N(INDEX(Dashboard!$C$2:$AF$31,MATCH(LARGE(Dashboard!$AI$2:$AI$31,$A19),Dashboard!$AI$2:$AI$31,0),COLUMNS($D19:AD19)))&amp;"/"&amp;INDEX(Management!$B$7:$B$36,COLUMNS($D19:AD19)))</f>
        <v/>
      </c>
      <c r="AE19" s="85" t="str" cm="1">
        <f t="array" ref="AE19">IF(OR($A19="",COLUMNS($D19:AE19)&gt;Management!$C$4),"",N(INDEX(Dashboard!$C$2:$AF$31,MATCH(LARGE(Dashboard!$AI$2:$AI$31,$A19),Dashboard!$AI$2:$AI$31,0),COLUMNS($D19:AE19)))&amp;"/"&amp;INDEX(Management!$B$7:$B$36,COLUMNS($D19:AE19)))</f>
        <v/>
      </c>
      <c r="AF19" s="85" t="str" cm="1">
        <f t="array" ref="AF19">IF(OR($A19="",COLUMNS($D19:AF19)&gt;Management!$C$4),"",N(INDEX(Dashboard!$C$2:$AF$31,MATCH(LARGE(Dashboard!$AI$2:$AI$31,$A19),Dashboard!$AI$2:$AI$31,0),COLUMNS($D19:AF19)))&amp;"/"&amp;INDEX(Management!$B$7:$B$36,COLUMNS($D19:AF19)))</f>
        <v/>
      </c>
      <c r="AG19" s="86" t="str" cm="1">
        <f t="array" ref="AG19">IF(OR($A19="",COLUMNS($D19:AG19)&gt;Management!$C$4),"",N(INDEX(Dashboard!$C$2:$AF$31,MATCH(LARGE(Dashboard!$AI$2:$AI$31,$A19),Dashboard!$AI$2:$AI$31,0),COLUMNS($D19:AG19)))&amp;"/"&amp;INDEX(Management!$B$7:$B$36,COLUMNS($D19:AG19)))</f>
        <v/>
      </c>
    </row>
    <row r="20" spans="1:33" ht="24" customHeight="1" x14ac:dyDescent="0.45">
      <c r="A20" s="81">
        <f>IF(ROWS($A$2:A20)&gt;COUNTA(Management!$F$7:$F$36),"",ROWS($A$2:A20))</f>
        <v>19</v>
      </c>
      <c r="B20" s="95" t="str">
        <f>IF($A20="","",INDEX(Dashboard!$A$2:$A$31,MATCH(LARGE(Dashboard!$AI$2:$AI$31,$A20),Dashboard!$AI$2:$AI$31,0)))</f>
        <v>Team29</v>
      </c>
      <c r="C20" s="110" t="str">
        <f>IF($A20="","",INDEX(Dashboard!$AG$2:$AG$31,MATCH(LARGE(Dashboard!$AI$2:$AI$31,$A20),Dashboard!$AI$2:$AI$31,0))&amp;" / "&amp;INDEX(Dashboard!$AH$2:$AH$31,MATCH(LARGE(Dashboard!$AI$2:$AI$31,$A20),Dashboard!$AI$2:$AI$31,0)))</f>
        <v>67 / 140</v>
      </c>
      <c r="D20" s="102" t="str" cm="1">
        <f t="array" ref="D20">IF(OR($A20="",COLUMNS($D20:D20)&gt;Management!$C$4),"",N(INDEX(Dashboard!$C$2:$AF$31,MATCH(LARGE(Dashboard!$AI$2:$AI$31,$A20),Dashboard!$AI$2:$AI$31,0),COLUMNS($D20:D20)))&amp;"/"&amp;INDEX(Management!$B$7:$B$36,COLUMNS($D20:D20)))</f>
        <v>2/10</v>
      </c>
      <c r="E20" s="82" t="str" cm="1">
        <f t="array" ref="E20">IF(OR($A20="",COLUMNS($D20:E20)&gt;Management!$C$4),"",N(INDEX(Dashboard!$C$2:$AF$31,MATCH(LARGE(Dashboard!$AI$2:$AI$31,$A20),Dashboard!$AI$2:$AI$31,0),COLUMNS($D20:E20)))&amp;"/"&amp;INDEX(Management!$B$7:$B$36,COLUMNS($D20:E20)))</f>
        <v>9/10</v>
      </c>
      <c r="F20" s="82" t="str" cm="1">
        <f t="array" ref="F20">IF(OR($A20="",COLUMNS($D20:F20)&gt;Management!$C$4),"",N(INDEX(Dashboard!$C$2:$AF$31,MATCH(LARGE(Dashboard!$AI$2:$AI$31,$A20),Dashboard!$AI$2:$AI$31,0),COLUMNS($D20:F20)))&amp;"/"&amp;INDEX(Management!$B$7:$B$36,COLUMNS($D20:F20)))</f>
        <v>8/10</v>
      </c>
      <c r="G20" s="82" t="str" cm="1">
        <f t="array" ref="G20">IF(OR($A20="",COLUMNS($D20:G20)&gt;Management!$C$4),"",N(INDEX(Dashboard!$C$2:$AF$31,MATCH(LARGE(Dashboard!$AI$2:$AI$31,$A20),Dashboard!$AI$2:$AI$31,0),COLUMNS($D20:G20)))&amp;"/"&amp;INDEX(Management!$B$7:$B$36,COLUMNS($D20:G20)))</f>
        <v>3/20</v>
      </c>
      <c r="H20" s="82" t="str" cm="1">
        <f t="array" ref="H20">IF(OR($A20="",COLUMNS($D20:H20)&gt;Management!$C$4),"",N(INDEX(Dashboard!$C$2:$AF$31,MATCH(LARGE(Dashboard!$AI$2:$AI$31,$A20),Dashboard!$AI$2:$AI$31,0),COLUMNS($D20:H20)))&amp;"/"&amp;INDEX(Management!$B$7:$B$36,COLUMNS($D20:H20)))</f>
        <v>10/10</v>
      </c>
      <c r="I20" s="82" t="str" cm="1">
        <f t="array" ref="I20">IF(OR($A20="",COLUMNS($D20:I20)&gt;Management!$C$4),"",N(INDEX(Dashboard!$C$2:$AF$31,MATCH(LARGE(Dashboard!$AI$2:$AI$31,$A20),Dashboard!$AI$2:$AI$31,0),COLUMNS($D20:I20)))&amp;"/"&amp;INDEX(Management!$B$7:$B$36,COLUMNS($D20:I20)))</f>
        <v>0/10</v>
      </c>
      <c r="J20" s="82" t="str" cm="1">
        <f t="array" ref="J20">IF(OR($A20="",COLUMNS($D20:J20)&gt;Management!$C$4),"",N(INDEX(Dashboard!$C$2:$AF$31,MATCH(LARGE(Dashboard!$AI$2:$AI$31,$A20),Dashboard!$AI$2:$AI$31,0),COLUMNS($D20:J20)))&amp;"/"&amp;INDEX(Management!$B$7:$B$36,COLUMNS($D20:J20)))</f>
        <v>5/10</v>
      </c>
      <c r="K20" s="82" t="str" cm="1">
        <f t="array" ref="K20">IF(OR($A20="",COLUMNS($D20:K20)&gt;Management!$C$4),"",N(INDEX(Dashboard!$C$2:$AF$31,MATCH(LARGE(Dashboard!$AI$2:$AI$31,$A20),Dashboard!$AI$2:$AI$31,0),COLUMNS($D20:K20)))&amp;"/"&amp;INDEX(Management!$B$7:$B$36,COLUMNS($D20:K20)))</f>
        <v>9/15</v>
      </c>
      <c r="L20" s="82" t="str" cm="1">
        <f t="array" ref="L20">IF(OR($A20="",COLUMNS($D20:L20)&gt;Management!$C$4),"",N(INDEX(Dashboard!$C$2:$AF$31,MATCH(LARGE(Dashboard!$AI$2:$AI$31,$A20),Dashboard!$AI$2:$AI$31,0),COLUMNS($D20:L20)))&amp;"/"&amp;INDEX(Management!$B$7:$B$36,COLUMNS($D20:L20)))</f>
        <v>5/10</v>
      </c>
      <c r="M20" s="82" t="str" cm="1">
        <f t="array" ref="M20">IF(OR($A20="",COLUMNS($D20:M20)&gt;Management!$C$4),"",N(INDEX(Dashboard!$C$2:$AF$31,MATCH(LARGE(Dashboard!$AI$2:$AI$31,$A20),Dashboard!$AI$2:$AI$31,0),COLUMNS($D20:M20)))&amp;"/"&amp;INDEX(Management!$B$7:$B$36,COLUMNS($D20:M20)))</f>
        <v>5/10</v>
      </c>
      <c r="N20" s="82" t="str" cm="1">
        <f t="array" ref="N20">IF(OR($A20="",COLUMNS($D20:N20)&gt;Management!$C$4),"",N(INDEX(Dashboard!$C$2:$AF$31,MATCH(LARGE(Dashboard!$AI$2:$AI$31,$A20),Dashboard!$AI$2:$AI$31,0),COLUMNS($D20:N20)))&amp;"/"&amp;INDEX(Management!$B$7:$B$36,COLUMNS($D20:N20)))</f>
        <v>1/5</v>
      </c>
      <c r="O20" s="82" t="str" cm="1">
        <f t="array" ref="O20">IF(OR($A20="",COLUMNS($D20:O20)&gt;Management!$C$4),"",N(INDEX(Dashboard!$C$2:$AF$31,MATCH(LARGE(Dashboard!$AI$2:$AI$31,$A20),Dashboard!$AI$2:$AI$31,0),COLUMNS($D20:O20)))&amp;"/"&amp;INDEX(Management!$B$7:$B$36,COLUMNS($D20:O20)))</f>
        <v>5/10</v>
      </c>
      <c r="P20" s="82" t="str" cm="1">
        <f t="array" ref="P20">IF(OR($A20="",COLUMNS($D20:P20)&gt;Management!$C$4),"",N(INDEX(Dashboard!$C$2:$AF$31,MATCH(LARGE(Dashboard!$AI$2:$AI$31,$A20),Dashboard!$AI$2:$AI$31,0),COLUMNS($D20:P20)))&amp;"/"&amp;INDEX(Management!$B$7:$B$36,COLUMNS($D20:P20)))</f>
        <v>5/10</v>
      </c>
      <c r="Q20" s="82" t="str" cm="1">
        <f t="array" ref="Q20">IF(OR($A20="",COLUMNS($D20:Q20)&gt;Management!$C$4),"",N(INDEX(Dashboard!$C$2:$AF$31,MATCH(LARGE(Dashboard!$AI$2:$AI$31,$A20),Dashboard!$AI$2:$AI$31,0),COLUMNS($D20:Q20)))&amp;"/"&amp;INDEX(Management!$B$7:$B$36,COLUMNS($D20:Q20)))</f>
        <v/>
      </c>
      <c r="R20" s="82" t="str" cm="1">
        <f t="array" ref="R20">IF(OR($A20="",COLUMNS($D20:R20)&gt;Management!$C$4),"",N(INDEX(Dashboard!$C$2:$AF$31,MATCH(LARGE(Dashboard!$AI$2:$AI$31,$A20),Dashboard!$AI$2:$AI$31,0),COLUMNS($D20:R20)))&amp;"/"&amp;INDEX(Management!$B$7:$B$36,COLUMNS($D20:R20)))</f>
        <v/>
      </c>
      <c r="S20" s="82" t="str" cm="1">
        <f t="array" ref="S20">IF(OR($A20="",COLUMNS($D20:S20)&gt;Management!$C$4),"",N(INDEX(Dashboard!$C$2:$AF$31,MATCH(LARGE(Dashboard!$AI$2:$AI$31,$A20),Dashboard!$AI$2:$AI$31,0),COLUMNS($D20:S20)))&amp;"/"&amp;INDEX(Management!$B$7:$B$36,COLUMNS($D20:S20)))</f>
        <v/>
      </c>
      <c r="T20" s="82" t="str" cm="1">
        <f t="array" ref="T20">IF(OR($A20="",COLUMNS($D20:T20)&gt;Management!$C$4),"",N(INDEX(Dashboard!$C$2:$AF$31,MATCH(LARGE(Dashboard!$AI$2:$AI$31,$A20),Dashboard!$AI$2:$AI$31,0),COLUMNS($D20:T20)))&amp;"/"&amp;INDEX(Management!$B$7:$B$36,COLUMNS($D20:T20)))</f>
        <v/>
      </c>
      <c r="U20" s="82" t="str" cm="1">
        <f t="array" ref="U20">IF(OR($A20="",COLUMNS($D20:U20)&gt;Management!$C$4),"",N(INDEX(Dashboard!$C$2:$AF$31,MATCH(LARGE(Dashboard!$AI$2:$AI$31,$A20),Dashboard!$AI$2:$AI$31,0),COLUMNS($D20:U20)))&amp;"/"&amp;INDEX(Management!$B$7:$B$36,COLUMNS($D20:U20)))</f>
        <v/>
      </c>
      <c r="V20" s="82" t="str" cm="1">
        <f t="array" ref="V20">IF(OR($A20="",COLUMNS($D20:V20)&gt;Management!$C$4),"",N(INDEX(Dashboard!$C$2:$AF$31,MATCH(LARGE(Dashboard!$AI$2:$AI$31,$A20),Dashboard!$AI$2:$AI$31,0),COLUMNS($D20:V20)))&amp;"/"&amp;INDEX(Management!$B$7:$B$36,COLUMNS($D20:V20)))</f>
        <v/>
      </c>
      <c r="W20" s="82" t="str" cm="1">
        <f t="array" ref="W20">IF(OR($A20="",COLUMNS($D20:W20)&gt;Management!$C$4),"",N(INDEX(Dashboard!$C$2:$AF$31,MATCH(LARGE(Dashboard!$AI$2:$AI$31,$A20),Dashboard!$AI$2:$AI$31,0),COLUMNS($D20:W20)))&amp;"/"&amp;INDEX(Management!$B$7:$B$36,COLUMNS($D20:W20)))</f>
        <v/>
      </c>
      <c r="X20" s="82" t="str" cm="1">
        <f t="array" ref="X20">IF(OR($A20="",COLUMNS($D20:X20)&gt;Management!$C$4),"",N(INDEX(Dashboard!$C$2:$AF$31,MATCH(LARGE(Dashboard!$AI$2:$AI$31,$A20),Dashboard!$AI$2:$AI$31,0),COLUMNS($D20:X20)))&amp;"/"&amp;INDEX(Management!$B$7:$B$36,COLUMNS($D20:X20)))</f>
        <v/>
      </c>
      <c r="Y20" s="82" t="str" cm="1">
        <f t="array" ref="Y20">IF(OR($A20="",COLUMNS($D20:Y20)&gt;Management!$C$4),"",N(INDEX(Dashboard!$C$2:$AF$31,MATCH(LARGE(Dashboard!$AI$2:$AI$31,$A20),Dashboard!$AI$2:$AI$31,0),COLUMNS($D20:Y20)))&amp;"/"&amp;INDEX(Management!$B$7:$B$36,COLUMNS($D20:Y20)))</f>
        <v/>
      </c>
      <c r="Z20" s="82" t="str" cm="1">
        <f t="array" ref="Z20">IF(OR($A20="",COLUMNS($D20:Z20)&gt;Management!$C$4),"",N(INDEX(Dashboard!$C$2:$AF$31,MATCH(LARGE(Dashboard!$AI$2:$AI$31,$A20),Dashboard!$AI$2:$AI$31,0),COLUMNS($D20:Z20)))&amp;"/"&amp;INDEX(Management!$B$7:$B$36,COLUMNS($D20:Z20)))</f>
        <v/>
      </c>
      <c r="AA20" s="82" t="str" cm="1">
        <f t="array" ref="AA20">IF(OR($A20="",COLUMNS($D20:AA20)&gt;Management!$C$4),"",N(INDEX(Dashboard!$C$2:$AF$31,MATCH(LARGE(Dashboard!$AI$2:$AI$31,$A20),Dashboard!$AI$2:$AI$31,0),COLUMNS($D20:AA20)))&amp;"/"&amp;INDEX(Management!$B$7:$B$36,COLUMNS($D20:AA20)))</f>
        <v/>
      </c>
      <c r="AB20" s="82" t="str" cm="1">
        <f t="array" ref="AB20">IF(OR($A20="",COLUMNS($D20:AB20)&gt;Management!$C$4),"",N(INDEX(Dashboard!$C$2:$AF$31,MATCH(LARGE(Dashboard!$AI$2:$AI$31,$A20),Dashboard!$AI$2:$AI$31,0),COLUMNS($D20:AB20)))&amp;"/"&amp;INDEX(Management!$B$7:$B$36,COLUMNS($D20:AB20)))</f>
        <v/>
      </c>
      <c r="AC20" s="82" t="str" cm="1">
        <f t="array" ref="AC20">IF(OR($A20="",COLUMNS($D20:AC20)&gt;Management!$C$4),"",N(INDEX(Dashboard!$C$2:$AF$31,MATCH(LARGE(Dashboard!$AI$2:$AI$31,$A20),Dashboard!$AI$2:$AI$31,0),COLUMNS($D20:AC20)))&amp;"/"&amp;INDEX(Management!$B$7:$B$36,COLUMNS($D20:AC20)))</f>
        <v/>
      </c>
      <c r="AD20" s="82" t="str" cm="1">
        <f t="array" ref="AD20">IF(OR($A20="",COLUMNS($D20:AD20)&gt;Management!$C$4),"",N(INDEX(Dashboard!$C$2:$AF$31,MATCH(LARGE(Dashboard!$AI$2:$AI$31,$A20),Dashboard!$AI$2:$AI$31,0),COLUMNS($D20:AD20)))&amp;"/"&amp;INDEX(Management!$B$7:$B$36,COLUMNS($D20:AD20)))</f>
        <v/>
      </c>
      <c r="AE20" s="82" t="str" cm="1">
        <f t="array" ref="AE20">IF(OR($A20="",COLUMNS($D20:AE20)&gt;Management!$C$4),"",N(INDEX(Dashboard!$C$2:$AF$31,MATCH(LARGE(Dashboard!$AI$2:$AI$31,$A20),Dashboard!$AI$2:$AI$31,0),COLUMNS($D20:AE20)))&amp;"/"&amp;INDEX(Management!$B$7:$B$36,COLUMNS($D20:AE20)))</f>
        <v/>
      </c>
      <c r="AF20" s="82" t="str" cm="1">
        <f t="array" ref="AF20">IF(OR($A20="",COLUMNS($D20:AF20)&gt;Management!$C$4),"",N(INDEX(Dashboard!$C$2:$AF$31,MATCH(LARGE(Dashboard!$AI$2:$AI$31,$A20),Dashboard!$AI$2:$AI$31,0),COLUMNS($D20:AF20)))&amp;"/"&amp;INDEX(Management!$B$7:$B$36,COLUMNS($D20:AF20)))</f>
        <v/>
      </c>
      <c r="AG20" s="83" t="str" cm="1">
        <f t="array" ref="AG20">IF(OR($A20="",COLUMNS($D20:AG20)&gt;Management!$C$4),"",N(INDEX(Dashboard!$C$2:$AF$31,MATCH(LARGE(Dashboard!$AI$2:$AI$31,$A20),Dashboard!$AI$2:$AI$31,0),COLUMNS($D20:AG20)))&amp;"/"&amp;INDEX(Management!$B$7:$B$36,COLUMNS($D20:AG20)))</f>
        <v/>
      </c>
    </row>
    <row r="21" spans="1:33" ht="24" customHeight="1" x14ac:dyDescent="0.45">
      <c r="A21" s="84">
        <f>IF(ROWS($A$2:A21)&gt;COUNTA(Management!$F$7:$F$36),"",ROWS($A$2:A21))</f>
        <v>20</v>
      </c>
      <c r="B21" s="96" t="str">
        <f>IF($A21="","",INDEX(Dashboard!$A$2:$A$31,MATCH(LARGE(Dashboard!$AI$2:$AI$31,$A21),Dashboard!$AI$2:$AI$31,0)))</f>
        <v>De Gekke Gouwenaars</v>
      </c>
      <c r="C21" s="110" t="str">
        <f>IF($A21="","",INDEX(Dashboard!$AG$2:$AG$31,MATCH(LARGE(Dashboard!$AI$2:$AI$31,$A21),Dashboard!$AI$2:$AI$31,0))&amp;" / "&amp;INDEX(Dashboard!$AH$2:$AH$31,MATCH(LARGE(Dashboard!$AI$2:$AI$31,$A21),Dashboard!$AI$2:$AI$31,0)))</f>
        <v>63 / 140</v>
      </c>
      <c r="D21" s="103" t="str" cm="1">
        <f t="array" ref="D21">IF(OR($A21="",COLUMNS($D21:D21)&gt;Management!$C$4),"",N(INDEX(Dashboard!$C$2:$AF$31,MATCH(LARGE(Dashboard!$AI$2:$AI$31,$A21),Dashboard!$AI$2:$AI$31,0),COLUMNS($D21:D21)))&amp;"/"&amp;INDEX(Management!$B$7:$B$36,COLUMNS($D21:D21)))</f>
        <v>8/10</v>
      </c>
      <c r="E21" s="85" t="str" cm="1">
        <f t="array" ref="E21">IF(OR($A21="",COLUMNS($D21:E21)&gt;Management!$C$4),"",N(INDEX(Dashboard!$C$2:$AF$31,MATCH(LARGE(Dashboard!$AI$2:$AI$31,$A21),Dashboard!$AI$2:$AI$31,0),COLUMNS($D21:E21)))&amp;"/"&amp;INDEX(Management!$B$7:$B$36,COLUMNS($D21:E21)))</f>
        <v>8/10</v>
      </c>
      <c r="F21" s="85" t="str" cm="1">
        <f t="array" ref="F21">IF(OR($A21="",COLUMNS($D21:F21)&gt;Management!$C$4),"",N(INDEX(Dashboard!$C$2:$AF$31,MATCH(LARGE(Dashboard!$AI$2:$AI$31,$A21),Dashboard!$AI$2:$AI$31,0),COLUMNS($D21:F21)))&amp;"/"&amp;INDEX(Management!$B$7:$B$36,COLUMNS($D21:F21)))</f>
        <v>6/10</v>
      </c>
      <c r="G21" s="85" t="str" cm="1">
        <f t="array" ref="G21">IF(OR($A21="",COLUMNS($D21:G21)&gt;Management!$C$4),"",N(INDEX(Dashboard!$C$2:$AF$31,MATCH(LARGE(Dashboard!$AI$2:$AI$31,$A21),Dashboard!$AI$2:$AI$31,0),COLUMNS($D21:G21)))&amp;"/"&amp;INDEX(Management!$B$7:$B$36,COLUMNS($D21:G21)))</f>
        <v>3/20</v>
      </c>
      <c r="H21" s="85" t="str" cm="1">
        <f t="array" ref="H21">IF(OR($A21="",COLUMNS($D21:H21)&gt;Management!$C$4),"",N(INDEX(Dashboard!$C$2:$AF$31,MATCH(LARGE(Dashboard!$AI$2:$AI$31,$A21),Dashboard!$AI$2:$AI$31,0),COLUMNS($D21:H21)))&amp;"/"&amp;INDEX(Management!$B$7:$B$36,COLUMNS($D21:H21)))</f>
        <v>3/10</v>
      </c>
      <c r="I21" s="85" t="str" cm="1">
        <f t="array" ref="I21">IF(OR($A21="",COLUMNS($D21:I21)&gt;Management!$C$4),"",N(INDEX(Dashboard!$C$2:$AF$31,MATCH(LARGE(Dashboard!$AI$2:$AI$31,$A21),Dashboard!$AI$2:$AI$31,0),COLUMNS($D21:I21)))&amp;"/"&amp;INDEX(Management!$B$7:$B$36,COLUMNS($D21:I21)))</f>
        <v>1/10</v>
      </c>
      <c r="J21" s="85" t="str" cm="1">
        <f t="array" ref="J21">IF(OR($A21="",COLUMNS($D21:J21)&gt;Management!$C$4),"",N(INDEX(Dashboard!$C$2:$AF$31,MATCH(LARGE(Dashboard!$AI$2:$AI$31,$A21),Dashboard!$AI$2:$AI$31,0),COLUMNS($D21:J21)))&amp;"/"&amp;INDEX(Management!$B$7:$B$36,COLUMNS($D21:J21)))</f>
        <v>6/10</v>
      </c>
      <c r="K21" s="85" t="str" cm="1">
        <f t="array" ref="K21">IF(OR($A21="",COLUMNS($D21:K21)&gt;Management!$C$4),"",N(INDEX(Dashboard!$C$2:$AF$31,MATCH(LARGE(Dashboard!$AI$2:$AI$31,$A21),Dashboard!$AI$2:$AI$31,0),COLUMNS($D21:K21)))&amp;"/"&amp;INDEX(Management!$B$7:$B$36,COLUMNS($D21:K21)))</f>
        <v>4/15</v>
      </c>
      <c r="L21" s="85" t="str" cm="1">
        <f t="array" ref="L21">IF(OR($A21="",COLUMNS($D21:L21)&gt;Management!$C$4),"",N(INDEX(Dashboard!$C$2:$AF$31,MATCH(LARGE(Dashboard!$AI$2:$AI$31,$A21),Dashboard!$AI$2:$AI$31,0),COLUMNS($D21:L21)))&amp;"/"&amp;INDEX(Management!$B$7:$B$36,COLUMNS($D21:L21)))</f>
        <v>6/10</v>
      </c>
      <c r="M21" s="85" t="str" cm="1">
        <f t="array" ref="M21">IF(OR($A21="",COLUMNS($D21:M21)&gt;Management!$C$4),"",N(INDEX(Dashboard!$C$2:$AF$31,MATCH(LARGE(Dashboard!$AI$2:$AI$31,$A21),Dashboard!$AI$2:$AI$31,0),COLUMNS($D21:M21)))&amp;"/"&amp;INDEX(Management!$B$7:$B$36,COLUMNS($D21:M21)))</f>
        <v>6/10</v>
      </c>
      <c r="N21" s="85" t="str" cm="1">
        <f t="array" ref="N21">IF(OR($A21="",COLUMNS($D21:N21)&gt;Management!$C$4),"",N(INDEX(Dashboard!$C$2:$AF$31,MATCH(LARGE(Dashboard!$AI$2:$AI$31,$A21),Dashboard!$AI$2:$AI$31,0),COLUMNS($D21:N21)))&amp;"/"&amp;INDEX(Management!$B$7:$B$36,COLUMNS($D21:N21)))</f>
        <v>0/5</v>
      </c>
      <c r="O21" s="85" t="str" cm="1">
        <f t="array" ref="O21">IF(OR($A21="",COLUMNS($D21:O21)&gt;Management!$C$4),"",N(INDEX(Dashboard!$C$2:$AF$31,MATCH(LARGE(Dashboard!$AI$2:$AI$31,$A21),Dashboard!$AI$2:$AI$31,0),COLUMNS($D21:O21)))&amp;"/"&amp;INDEX(Management!$B$7:$B$36,COLUMNS($D21:O21)))</f>
        <v>6/10</v>
      </c>
      <c r="P21" s="85" t="str" cm="1">
        <f t="array" ref="P21">IF(OR($A21="",COLUMNS($D21:P21)&gt;Management!$C$4),"",N(INDEX(Dashboard!$C$2:$AF$31,MATCH(LARGE(Dashboard!$AI$2:$AI$31,$A21),Dashboard!$AI$2:$AI$31,0),COLUMNS($D21:P21)))&amp;"/"&amp;INDEX(Management!$B$7:$B$36,COLUMNS($D21:P21)))</f>
        <v>6/10</v>
      </c>
      <c r="Q21" s="85" t="str" cm="1">
        <f t="array" ref="Q21">IF(OR($A21="",COLUMNS($D21:Q21)&gt;Management!$C$4),"",N(INDEX(Dashboard!$C$2:$AF$31,MATCH(LARGE(Dashboard!$AI$2:$AI$31,$A21),Dashboard!$AI$2:$AI$31,0),COLUMNS($D21:Q21)))&amp;"/"&amp;INDEX(Management!$B$7:$B$36,COLUMNS($D21:Q21)))</f>
        <v/>
      </c>
      <c r="R21" s="85" t="str" cm="1">
        <f t="array" ref="R21">IF(OR($A21="",COLUMNS($D21:R21)&gt;Management!$C$4),"",N(INDEX(Dashboard!$C$2:$AF$31,MATCH(LARGE(Dashboard!$AI$2:$AI$31,$A21),Dashboard!$AI$2:$AI$31,0),COLUMNS($D21:R21)))&amp;"/"&amp;INDEX(Management!$B$7:$B$36,COLUMNS($D21:R21)))</f>
        <v/>
      </c>
      <c r="S21" s="85" t="str" cm="1">
        <f t="array" ref="S21">IF(OR($A21="",COLUMNS($D21:S21)&gt;Management!$C$4),"",N(INDEX(Dashboard!$C$2:$AF$31,MATCH(LARGE(Dashboard!$AI$2:$AI$31,$A21),Dashboard!$AI$2:$AI$31,0),COLUMNS($D21:S21)))&amp;"/"&amp;INDEX(Management!$B$7:$B$36,COLUMNS($D21:S21)))</f>
        <v/>
      </c>
      <c r="T21" s="85" t="str" cm="1">
        <f t="array" ref="T21">IF(OR($A21="",COLUMNS($D21:T21)&gt;Management!$C$4),"",N(INDEX(Dashboard!$C$2:$AF$31,MATCH(LARGE(Dashboard!$AI$2:$AI$31,$A21),Dashboard!$AI$2:$AI$31,0),COLUMNS($D21:T21)))&amp;"/"&amp;INDEX(Management!$B$7:$B$36,COLUMNS($D21:T21)))</f>
        <v/>
      </c>
      <c r="U21" s="85" t="str" cm="1">
        <f t="array" ref="U21">IF(OR($A21="",COLUMNS($D21:U21)&gt;Management!$C$4),"",N(INDEX(Dashboard!$C$2:$AF$31,MATCH(LARGE(Dashboard!$AI$2:$AI$31,$A21),Dashboard!$AI$2:$AI$31,0),COLUMNS($D21:U21)))&amp;"/"&amp;INDEX(Management!$B$7:$B$36,COLUMNS($D21:U21)))</f>
        <v/>
      </c>
      <c r="V21" s="85" t="str" cm="1">
        <f t="array" ref="V21">IF(OR($A21="",COLUMNS($D21:V21)&gt;Management!$C$4),"",N(INDEX(Dashboard!$C$2:$AF$31,MATCH(LARGE(Dashboard!$AI$2:$AI$31,$A21),Dashboard!$AI$2:$AI$31,0),COLUMNS($D21:V21)))&amp;"/"&amp;INDEX(Management!$B$7:$B$36,COLUMNS($D21:V21)))</f>
        <v/>
      </c>
      <c r="W21" s="85" t="str" cm="1">
        <f t="array" ref="W21">IF(OR($A21="",COLUMNS($D21:W21)&gt;Management!$C$4),"",N(INDEX(Dashboard!$C$2:$AF$31,MATCH(LARGE(Dashboard!$AI$2:$AI$31,$A21),Dashboard!$AI$2:$AI$31,0),COLUMNS($D21:W21)))&amp;"/"&amp;INDEX(Management!$B$7:$B$36,COLUMNS($D21:W21)))</f>
        <v/>
      </c>
      <c r="X21" s="85" t="str" cm="1">
        <f t="array" ref="X21">IF(OR($A21="",COLUMNS($D21:X21)&gt;Management!$C$4),"",N(INDEX(Dashboard!$C$2:$AF$31,MATCH(LARGE(Dashboard!$AI$2:$AI$31,$A21),Dashboard!$AI$2:$AI$31,0),COLUMNS($D21:X21)))&amp;"/"&amp;INDEX(Management!$B$7:$B$36,COLUMNS($D21:X21)))</f>
        <v/>
      </c>
      <c r="Y21" s="85" t="str" cm="1">
        <f t="array" ref="Y21">IF(OR($A21="",COLUMNS($D21:Y21)&gt;Management!$C$4),"",N(INDEX(Dashboard!$C$2:$AF$31,MATCH(LARGE(Dashboard!$AI$2:$AI$31,$A21),Dashboard!$AI$2:$AI$31,0),COLUMNS($D21:Y21)))&amp;"/"&amp;INDEX(Management!$B$7:$B$36,COLUMNS($D21:Y21)))</f>
        <v/>
      </c>
      <c r="Z21" s="85" t="str" cm="1">
        <f t="array" ref="Z21">IF(OR($A21="",COLUMNS($D21:Z21)&gt;Management!$C$4),"",N(INDEX(Dashboard!$C$2:$AF$31,MATCH(LARGE(Dashboard!$AI$2:$AI$31,$A21),Dashboard!$AI$2:$AI$31,0),COLUMNS($D21:Z21)))&amp;"/"&amp;INDEX(Management!$B$7:$B$36,COLUMNS($D21:Z21)))</f>
        <v/>
      </c>
      <c r="AA21" s="85" t="str" cm="1">
        <f t="array" ref="AA21">IF(OR($A21="",COLUMNS($D21:AA21)&gt;Management!$C$4),"",N(INDEX(Dashboard!$C$2:$AF$31,MATCH(LARGE(Dashboard!$AI$2:$AI$31,$A21),Dashboard!$AI$2:$AI$31,0),COLUMNS($D21:AA21)))&amp;"/"&amp;INDEX(Management!$B$7:$B$36,COLUMNS($D21:AA21)))</f>
        <v/>
      </c>
      <c r="AB21" s="85" t="str" cm="1">
        <f t="array" ref="AB21">IF(OR($A21="",COLUMNS($D21:AB21)&gt;Management!$C$4),"",N(INDEX(Dashboard!$C$2:$AF$31,MATCH(LARGE(Dashboard!$AI$2:$AI$31,$A21),Dashboard!$AI$2:$AI$31,0),COLUMNS($D21:AB21)))&amp;"/"&amp;INDEX(Management!$B$7:$B$36,COLUMNS($D21:AB21)))</f>
        <v/>
      </c>
      <c r="AC21" s="85" t="str" cm="1">
        <f t="array" ref="AC21">IF(OR($A21="",COLUMNS($D21:AC21)&gt;Management!$C$4),"",N(INDEX(Dashboard!$C$2:$AF$31,MATCH(LARGE(Dashboard!$AI$2:$AI$31,$A21),Dashboard!$AI$2:$AI$31,0),COLUMNS($D21:AC21)))&amp;"/"&amp;INDEX(Management!$B$7:$B$36,COLUMNS($D21:AC21)))</f>
        <v/>
      </c>
      <c r="AD21" s="85" t="str" cm="1">
        <f t="array" ref="AD21">IF(OR($A21="",COLUMNS($D21:AD21)&gt;Management!$C$4),"",N(INDEX(Dashboard!$C$2:$AF$31,MATCH(LARGE(Dashboard!$AI$2:$AI$31,$A21),Dashboard!$AI$2:$AI$31,0),COLUMNS($D21:AD21)))&amp;"/"&amp;INDEX(Management!$B$7:$B$36,COLUMNS($D21:AD21)))</f>
        <v/>
      </c>
      <c r="AE21" s="85" t="str" cm="1">
        <f t="array" ref="AE21">IF(OR($A21="",COLUMNS($D21:AE21)&gt;Management!$C$4),"",N(INDEX(Dashboard!$C$2:$AF$31,MATCH(LARGE(Dashboard!$AI$2:$AI$31,$A21),Dashboard!$AI$2:$AI$31,0),COLUMNS($D21:AE21)))&amp;"/"&amp;INDEX(Management!$B$7:$B$36,COLUMNS($D21:AE21)))</f>
        <v/>
      </c>
      <c r="AF21" s="85" t="str" cm="1">
        <f t="array" ref="AF21">IF(OR($A21="",COLUMNS($D21:AF21)&gt;Management!$C$4),"",N(INDEX(Dashboard!$C$2:$AF$31,MATCH(LARGE(Dashboard!$AI$2:$AI$31,$A21),Dashboard!$AI$2:$AI$31,0),COLUMNS($D21:AF21)))&amp;"/"&amp;INDEX(Management!$B$7:$B$36,COLUMNS($D21:AF21)))</f>
        <v/>
      </c>
      <c r="AG21" s="86" t="str" cm="1">
        <f t="array" ref="AG21">IF(OR($A21="",COLUMNS($D21:AG21)&gt;Management!$C$4),"",N(INDEX(Dashboard!$C$2:$AF$31,MATCH(LARGE(Dashboard!$AI$2:$AI$31,$A21),Dashboard!$AI$2:$AI$31,0),COLUMNS($D21:AG21)))&amp;"/"&amp;INDEX(Management!$B$7:$B$36,COLUMNS($D21:AG21)))</f>
        <v/>
      </c>
    </row>
    <row r="22" spans="1:33" ht="24" customHeight="1" x14ac:dyDescent="0.45">
      <c r="A22" s="81">
        <f>IF(ROWS($A$2:A22)&gt;COUNTA(Management!$F$7:$F$36),"",ROWS($A$2:A22))</f>
        <v>21</v>
      </c>
      <c r="B22" s="95" t="str">
        <f>IF($A22="","",INDEX(Dashboard!$A$2:$A$31,MATCH(LARGE(Dashboard!$AI$2:$AI$31,$A22),Dashboard!$AI$2:$AI$31,0)))</f>
        <v>Kwistet</v>
      </c>
      <c r="C22" s="110" t="str">
        <f>IF($A22="","",INDEX(Dashboard!$AG$2:$AG$31,MATCH(LARGE(Dashboard!$AI$2:$AI$31,$A22),Dashboard!$AI$2:$AI$31,0))&amp;" / "&amp;INDEX(Dashboard!$AH$2:$AH$31,MATCH(LARGE(Dashboard!$AI$2:$AI$31,$A22),Dashboard!$AI$2:$AI$31,0)))</f>
        <v>63 / 140</v>
      </c>
      <c r="D22" s="102" t="str" cm="1">
        <f t="array" ref="D22">IF(OR($A22="",COLUMNS($D22:D22)&gt;Management!$C$4),"",N(INDEX(Dashboard!$C$2:$AF$31,MATCH(LARGE(Dashboard!$AI$2:$AI$31,$A22),Dashboard!$AI$2:$AI$31,0),COLUMNS($D22:D22)))&amp;"/"&amp;INDEX(Management!$B$7:$B$36,COLUMNS($D22:D22)))</f>
        <v>8/10</v>
      </c>
      <c r="E22" s="82" t="str" cm="1">
        <f t="array" ref="E22">IF(OR($A22="",COLUMNS($D22:E22)&gt;Management!$C$4),"",N(INDEX(Dashboard!$C$2:$AF$31,MATCH(LARGE(Dashboard!$AI$2:$AI$31,$A22),Dashboard!$AI$2:$AI$31,0),COLUMNS($D22:E22)))&amp;"/"&amp;INDEX(Management!$B$7:$B$36,COLUMNS($D22:E22)))</f>
        <v>5/10</v>
      </c>
      <c r="F22" s="82" t="str" cm="1">
        <f t="array" ref="F22">IF(OR($A22="",COLUMNS($D22:F22)&gt;Management!$C$4),"",N(INDEX(Dashboard!$C$2:$AF$31,MATCH(LARGE(Dashboard!$AI$2:$AI$31,$A22),Dashboard!$AI$2:$AI$31,0),COLUMNS($D22:F22)))&amp;"/"&amp;INDEX(Management!$B$7:$B$36,COLUMNS($D22:F22)))</f>
        <v>5/10</v>
      </c>
      <c r="G22" s="82" t="str" cm="1">
        <f t="array" ref="G22">IF(OR($A22="",COLUMNS($D22:G22)&gt;Management!$C$4),"",N(INDEX(Dashboard!$C$2:$AF$31,MATCH(LARGE(Dashboard!$AI$2:$AI$31,$A22),Dashboard!$AI$2:$AI$31,0),COLUMNS($D22:G22)))&amp;"/"&amp;INDEX(Management!$B$7:$B$36,COLUMNS($D22:G22)))</f>
        <v>5/20</v>
      </c>
      <c r="H22" s="82" t="str" cm="1">
        <f t="array" ref="H22">IF(OR($A22="",COLUMNS($D22:H22)&gt;Management!$C$4),"",N(INDEX(Dashboard!$C$2:$AF$31,MATCH(LARGE(Dashboard!$AI$2:$AI$31,$A22),Dashboard!$AI$2:$AI$31,0),COLUMNS($D22:H22)))&amp;"/"&amp;INDEX(Management!$B$7:$B$36,COLUMNS($D22:H22)))</f>
        <v>5/10</v>
      </c>
      <c r="I22" s="82" t="str" cm="1">
        <f t="array" ref="I22">IF(OR($A22="",COLUMNS($D22:I22)&gt;Management!$C$4),"",N(INDEX(Dashboard!$C$2:$AF$31,MATCH(LARGE(Dashboard!$AI$2:$AI$31,$A22),Dashboard!$AI$2:$AI$31,0),COLUMNS($D22:I22)))&amp;"/"&amp;INDEX(Management!$B$7:$B$36,COLUMNS($D22:I22)))</f>
        <v>5/10</v>
      </c>
      <c r="J22" s="82" t="str" cm="1">
        <f t="array" ref="J22">IF(OR($A22="",COLUMNS($D22:J22)&gt;Management!$C$4),"",N(INDEX(Dashboard!$C$2:$AF$31,MATCH(LARGE(Dashboard!$AI$2:$AI$31,$A22),Dashboard!$AI$2:$AI$31,0),COLUMNS($D22:J22)))&amp;"/"&amp;INDEX(Management!$B$7:$B$36,COLUMNS($D22:J22)))</f>
        <v>5/10</v>
      </c>
      <c r="K22" s="82" t="str" cm="1">
        <f t="array" ref="K22">IF(OR($A22="",COLUMNS($D22:K22)&gt;Management!$C$4),"",N(INDEX(Dashboard!$C$2:$AF$31,MATCH(LARGE(Dashboard!$AI$2:$AI$31,$A22),Dashboard!$AI$2:$AI$31,0),COLUMNS($D22:K22)))&amp;"/"&amp;INDEX(Management!$B$7:$B$36,COLUMNS($D22:K22)))</f>
        <v>5/15</v>
      </c>
      <c r="L22" s="82" t="str" cm="1">
        <f t="array" ref="L22">IF(OR($A22="",COLUMNS($D22:L22)&gt;Management!$C$4),"",N(INDEX(Dashboard!$C$2:$AF$31,MATCH(LARGE(Dashboard!$AI$2:$AI$31,$A22),Dashboard!$AI$2:$AI$31,0),COLUMNS($D22:L22)))&amp;"/"&amp;INDEX(Management!$B$7:$B$36,COLUMNS($D22:L22)))</f>
        <v>5/10</v>
      </c>
      <c r="M22" s="82" t="str" cm="1">
        <f t="array" ref="M22">IF(OR($A22="",COLUMNS($D22:M22)&gt;Management!$C$4),"",N(INDEX(Dashboard!$C$2:$AF$31,MATCH(LARGE(Dashboard!$AI$2:$AI$31,$A22),Dashboard!$AI$2:$AI$31,0),COLUMNS($D22:M22)))&amp;"/"&amp;INDEX(Management!$B$7:$B$36,COLUMNS($D22:M22)))</f>
        <v>5/10</v>
      </c>
      <c r="N22" s="82" t="str" cm="1">
        <f t="array" ref="N22">IF(OR($A22="",COLUMNS($D22:N22)&gt;Management!$C$4),"",N(INDEX(Dashboard!$C$2:$AF$31,MATCH(LARGE(Dashboard!$AI$2:$AI$31,$A22),Dashboard!$AI$2:$AI$31,0),COLUMNS($D22:N22)))&amp;"/"&amp;INDEX(Management!$B$7:$B$36,COLUMNS($D22:N22)))</f>
        <v>0/5</v>
      </c>
      <c r="O22" s="82" t="str" cm="1">
        <f t="array" ref="O22">IF(OR($A22="",COLUMNS($D22:O22)&gt;Management!$C$4),"",N(INDEX(Dashboard!$C$2:$AF$31,MATCH(LARGE(Dashboard!$AI$2:$AI$31,$A22),Dashboard!$AI$2:$AI$31,0),COLUMNS($D22:O22)))&amp;"/"&amp;INDEX(Management!$B$7:$B$36,COLUMNS($D22:O22)))</f>
        <v>5/10</v>
      </c>
      <c r="P22" s="82" t="str" cm="1">
        <f t="array" ref="P22">IF(OR($A22="",COLUMNS($D22:P22)&gt;Management!$C$4),"",N(INDEX(Dashboard!$C$2:$AF$31,MATCH(LARGE(Dashboard!$AI$2:$AI$31,$A22),Dashboard!$AI$2:$AI$31,0),COLUMNS($D22:P22)))&amp;"/"&amp;INDEX(Management!$B$7:$B$36,COLUMNS($D22:P22)))</f>
        <v>5/10</v>
      </c>
      <c r="Q22" s="82" t="str" cm="1">
        <f t="array" ref="Q22">IF(OR($A22="",COLUMNS($D22:Q22)&gt;Management!$C$4),"",N(INDEX(Dashboard!$C$2:$AF$31,MATCH(LARGE(Dashboard!$AI$2:$AI$31,$A22),Dashboard!$AI$2:$AI$31,0),COLUMNS($D22:Q22)))&amp;"/"&amp;INDEX(Management!$B$7:$B$36,COLUMNS($D22:Q22)))</f>
        <v/>
      </c>
      <c r="R22" s="82" t="str" cm="1">
        <f t="array" ref="R22">IF(OR($A22="",COLUMNS($D22:R22)&gt;Management!$C$4),"",N(INDEX(Dashboard!$C$2:$AF$31,MATCH(LARGE(Dashboard!$AI$2:$AI$31,$A22),Dashboard!$AI$2:$AI$31,0),COLUMNS($D22:R22)))&amp;"/"&amp;INDEX(Management!$B$7:$B$36,COLUMNS($D22:R22)))</f>
        <v/>
      </c>
      <c r="S22" s="82" t="str" cm="1">
        <f t="array" ref="S22">IF(OR($A22="",COLUMNS($D22:S22)&gt;Management!$C$4),"",N(INDEX(Dashboard!$C$2:$AF$31,MATCH(LARGE(Dashboard!$AI$2:$AI$31,$A22),Dashboard!$AI$2:$AI$31,0),COLUMNS($D22:S22)))&amp;"/"&amp;INDEX(Management!$B$7:$B$36,COLUMNS($D22:S22)))</f>
        <v/>
      </c>
      <c r="T22" s="82" t="str" cm="1">
        <f t="array" ref="T22">IF(OR($A22="",COLUMNS($D22:T22)&gt;Management!$C$4),"",N(INDEX(Dashboard!$C$2:$AF$31,MATCH(LARGE(Dashboard!$AI$2:$AI$31,$A22),Dashboard!$AI$2:$AI$31,0),COLUMNS($D22:T22)))&amp;"/"&amp;INDEX(Management!$B$7:$B$36,COLUMNS($D22:T22)))</f>
        <v/>
      </c>
      <c r="U22" s="82" t="str" cm="1">
        <f t="array" ref="U22">IF(OR($A22="",COLUMNS($D22:U22)&gt;Management!$C$4),"",N(INDEX(Dashboard!$C$2:$AF$31,MATCH(LARGE(Dashboard!$AI$2:$AI$31,$A22),Dashboard!$AI$2:$AI$31,0),COLUMNS($D22:U22)))&amp;"/"&amp;INDEX(Management!$B$7:$B$36,COLUMNS($D22:U22)))</f>
        <v/>
      </c>
      <c r="V22" s="82" t="str" cm="1">
        <f t="array" ref="V22">IF(OR($A22="",COLUMNS($D22:V22)&gt;Management!$C$4),"",N(INDEX(Dashboard!$C$2:$AF$31,MATCH(LARGE(Dashboard!$AI$2:$AI$31,$A22),Dashboard!$AI$2:$AI$31,0),COLUMNS($D22:V22)))&amp;"/"&amp;INDEX(Management!$B$7:$B$36,COLUMNS($D22:V22)))</f>
        <v/>
      </c>
      <c r="W22" s="82" t="str" cm="1">
        <f t="array" ref="W22">IF(OR($A22="",COLUMNS($D22:W22)&gt;Management!$C$4),"",N(INDEX(Dashboard!$C$2:$AF$31,MATCH(LARGE(Dashboard!$AI$2:$AI$31,$A22),Dashboard!$AI$2:$AI$31,0),COLUMNS($D22:W22)))&amp;"/"&amp;INDEX(Management!$B$7:$B$36,COLUMNS($D22:W22)))</f>
        <v/>
      </c>
      <c r="X22" s="82" t="str" cm="1">
        <f t="array" ref="X22">IF(OR($A22="",COLUMNS($D22:X22)&gt;Management!$C$4),"",N(INDEX(Dashboard!$C$2:$AF$31,MATCH(LARGE(Dashboard!$AI$2:$AI$31,$A22),Dashboard!$AI$2:$AI$31,0),COLUMNS($D22:X22)))&amp;"/"&amp;INDEX(Management!$B$7:$B$36,COLUMNS($D22:X22)))</f>
        <v/>
      </c>
      <c r="Y22" s="82" t="str" cm="1">
        <f t="array" ref="Y22">IF(OR($A22="",COLUMNS($D22:Y22)&gt;Management!$C$4),"",N(INDEX(Dashboard!$C$2:$AF$31,MATCH(LARGE(Dashboard!$AI$2:$AI$31,$A22),Dashboard!$AI$2:$AI$31,0),COLUMNS($D22:Y22)))&amp;"/"&amp;INDEX(Management!$B$7:$B$36,COLUMNS($D22:Y22)))</f>
        <v/>
      </c>
      <c r="Z22" s="82" t="str" cm="1">
        <f t="array" ref="Z22">IF(OR($A22="",COLUMNS($D22:Z22)&gt;Management!$C$4),"",N(INDEX(Dashboard!$C$2:$AF$31,MATCH(LARGE(Dashboard!$AI$2:$AI$31,$A22),Dashboard!$AI$2:$AI$31,0),COLUMNS($D22:Z22)))&amp;"/"&amp;INDEX(Management!$B$7:$B$36,COLUMNS($D22:Z22)))</f>
        <v/>
      </c>
      <c r="AA22" s="82" t="str" cm="1">
        <f t="array" ref="AA22">IF(OR($A22="",COLUMNS($D22:AA22)&gt;Management!$C$4),"",N(INDEX(Dashboard!$C$2:$AF$31,MATCH(LARGE(Dashboard!$AI$2:$AI$31,$A22),Dashboard!$AI$2:$AI$31,0),COLUMNS($D22:AA22)))&amp;"/"&amp;INDEX(Management!$B$7:$B$36,COLUMNS($D22:AA22)))</f>
        <v/>
      </c>
      <c r="AB22" s="82" t="str" cm="1">
        <f t="array" ref="AB22">IF(OR($A22="",COLUMNS($D22:AB22)&gt;Management!$C$4),"",N(INDEX(Dashboard!$C$2:$AF$31,MATCH(LARGE(Dashboard!$AI$2:$AI$31,$A22),Dashboard!$AI$2:$AI$31,0),COLUMNS($D22:AB22)))&amp;"/"&amp;INDEX(Management!$B$7:$B$36,COLUMNS($D22:AB22)))</f>
        <v/>
      </c>
      <c r="AC22" s="82" t="str" cm="1">
        <f t="array" ref="AC22">IF(OR($A22="",COLUMNS($D22:AC22)&gt;Management!$C$4),"",N(INDEX(Dashboard!$C$2:$AF$31,MATCH(LARGE(Dashboard!$AI$2:$AI$31,$A22),Dashboard!$AI$2:$AI$31,0),COLUMNS($D22:AC22)))&amp;"/"&amp;INDEX(Management!$B$7:$B$36,COLUMNS($D22:AC22)))</f>
        <v/>
      </c>
      <c r="AD22" s="82" t="str" cm="1">
        <f t="array" ref="AD22">IF(OR($A22="",COLUMNS($D22:AD22)&gt;Management!$C$4),"",N(INDEX(Dashboard!$C$2:$AF$31,MATCH(LARGE(Dashboard!$AI$2:$AI$31,$A22),Dashboard!$AI$2:$AI$31,0),COLUMNS($D22:AD22)))&amp;"/"&amp;INDEX(Management!$B$7:$B$36,COLUMNS($D22:AD22)))</f>
        <v/>
      </c>
      <c r="AE22" s="82" t="str" cm="1">
        <f t="array" ref="AE22">IF(OR($A22="",COLUMNS($D22:AE22)&gt;Management!$C$4),"",N(INDEX(Dashboard!$C$2:$AF$31,MATCH(LARGE(Dashboard!$AI$2:$AI$31,$A22),Dashboard!$AI$2:$AI$31,0),COLUMNS($D22:AE22)))&amp;"/"&amp;INDEX(Management!$B$7:$B$36,COLUMNS($D22:AE22)))</f>
        <v/>
      </c>
      <c r="AF22" s="82" t="str" cm="1">
        <f t="array" ref="AF22">IF(OR($A22="",COLUMNS($D22:AF22)&gt;Management!$C$4),"",N(INDEX(Dashboard!$C$2:$AF$31,MATCH(LARGE(Dashboard!$AI$2:$AI$31,$A22),Dashboard!$AI$2:$AI$31,0),COLUMNS($D22:AF22)))&amp;"/"&amp;INDEX(Management!$B$7:$B$36,COLUMNS($D22:AF22)))</f>
        <v/>
      </c>
      <c r="AG22" s="83" t="str" cm="1">
        <f t="array" ref="AG22">IF(OR($A22="",COLUMNS($D22:AG22)&gt;Management!$C$4),"",N(INDEX(Dashboard!$C$2:$AF$31,MATCH(LARGE(Dashboard!$AI$2:$AI$31,$A22),Dashboard!$AI$2:$AI$31,0),COLUMNS($D22:AG22)))&amp;"/"&amp;INDEX(Management!$B$7:$B$36,COLUMNS($D22:AG22)))</f>
        <v/>
      </c>
    </row>
    <row r="23" spans="1:33" ht="24" customHeight="1" x14ac:dyDescent="0.45">
      <c r="A23" s="84">
        <f>IF(ROWS($A$2:A23)&gt;COUNTA(Management!$F$7:$F$36),"",ROWS($A$2:A23))</f>
        <v>22</v>
      </c>
      <c r="B23" s="96" t="str">
        <f>IF($A23="","",INDEX(Dashboard!$A$2:$A$31,MATCH(LARGE(Dashboard!$AI$2:$AI$31,$A23),Dashboard!$AI$2:$AI$31,0)))</f>
        <v>Team25</v>
      </c>
      <c r="C23" s="110" t="str">
        <f>IF($A23="","",INDEX(Dashboard!$AG$2:$AG$31,MATCH(LARGE(Dashboard!$AI$2:$AI$31,$A23),Dashboard!$AI$2:$AI$31,0))&amp;" / "&amp;INDEX(Dashboard!$AH$2:$AH$31,MATCH(LARGE(Dashboard!$AI$2:$AI$31,$A23),Dashboard!$AI$2:$AI$31,0)))</f>
        <v>63 / 140</v>
      </c>
      <c r="D23" s="103" t="str" cm="1">
        <f t="array" ref="D23">IF(OR($A23="",COLUMNS($D23:D23)&gt;Management!$C$4),"",N(INDEX(Dashboard!$C$2:$AF$31,MATCH(LARGE(Dashboard!$AI$2:$AI$31,$A23),Dashboard!$AI$2:$AI$31,0),COLUMNS($D23:D23)))&amp;"/"&amp;INDEX(Management!$B$7:$B$36,COLUMNS($D23:D23)))</f>
        <v>8/10</v>
      </c>
      <c r="E23" s="85" t="str" cm="1">
        <f t="array" ref="E23">IF(OR($A23="",COLUMNS($D23:E23)&gt;Management!$C$4),"",N(INDEX(Dashboard!$C$2:$AF$31,MATCH(LARGE(Dashboard!$AI$2:$AI$31,$A23),Dashboard!$AI$2:$AI$31,0),COLUMNS($D23:E23)))&amp;"/"&amp;INDEX(Management!$B$7:$B$36,COLUMNS($D23:E23)))</f>
        <v>8/10</v>
      </c>
      <c r="F23" s="85" t="str" cm="1">
        <f t="array" ref="F23">IF(OR($A23="",COLUMNS($D23:F23)&gt;Management!$C$4),"",N(INDEX(Dashboard!$C$2:$AF$31,MATCH(LARGE(Dashboard!$AI$2:$AI$31,$A23),Dashboard!$AI$2:$AI$31,0),COLUMNS($D23:F23)))&amp;"/"&amp;INDEX(Management!$B$7:$B$36,COLUMNS($D23:F23)))</f>
        <v>6/10</v>
      </c>
      <c r="G23" s="85" t="str" cm="1">
        <f t="array" ref="G23">IF(OR($A23="",COLUMNS($D23:G23)&gt;Management!$C$4),"",N(INDEX(Dashboard!$C$2:$AF$31,MATCH(LARGE(Dashboard!$AI$2:$AI$31,$A23),Dashboard!$AI$2:$AI$31,0),COLUMNS($D23:G23)))&amp;"/"&amp;INDEX(Management!$B$7:$B$36,COLUMNS($D23:G23)))</f>
        <v>3/20</v>
      </c>
      <c r="H23" s="85" t="str" cm="1">
        <f t="array" ref="H23">IF(OR($A23="",COLUMNS($D23:H23)&gt;Management!$C$4),"",N(INDEX(Dashboard!$C$2:$AF$31,MATCH(LARGE(Dashboard!$AI$2:$AI$31,$A23),Dashboard!$AI$2:$AI$31,0),COLUMNS($D23:H23)))&amp;"/"&amp;INDEX(Management!$B$7:$B$36,COLUMNS($D23:H23)))</f>
        <v>3/10</v>
      </c>
      <c r="I23" s="85" t="str" cm="1">
        <f t="array" ref="I23">IF(OR($A23="",COLUMNS($D23:I23)&gt;Management!$C$4),"",N(INDEX(Dashboard!$C$2:$AF$31,MATCH(LARGE(Dashboard!$AI$2:$AI$31,$A23),Dashboard!$AI$2:$AI$31,0),COLUMNS($D23:I23)))&amp;"/"&amp;INDEX(Management!$B$7:$B$36,COLUMNS($D23:I23)))</f>
        <v>1/10</v>
      </c>
      <c r="J23" s="85" t="str" cm="1">
        <f t="array" ref="J23">IF(OR($A23="",COLUMNS($D23:J23)&gt;Management!$C$4),"",N(INDEX(Dashboard!$C$2:$AF$31,MATCH(LARGE(Dashboard!$AI$2:$AI$31,$A23),Dashboard!$AI$2:$AI$31,0),COLUMNS($D23:J23)))&amp;"/"&amp;INDEX(Management!$B$7:$B$36,COLUMNS($D23:J23)))</f>
        <v>6/10</v>
      </c>
      <c r="K23" s="85" t="str" cm="1">
        <f t="array" ref="K23">IF(OR($A23="",COLUMNS($D23:K23)&gt;Management!$C$4),"",N(INDEX(Dashboard!$C$2:$AF$31,MATCH(LARGE(Dashboard!$AI$2:$AI$31,$A23),Dashboard!$AI$2:$AI$31,0),COLUMNS($D23:K23)))&amp;"/"&amp;INDEX(Management!$B$7:$B$36,COLUMNS($D23:K23)))</f>
        <v>4/15</v>
      </c>
      <c r="L23" s="85" t="str" cm="1">
        <f t="array" ref="L23">IF(OR($A23="",COLUMNS($D23:L23)&gt;Management!$C$4),"",N(INDEX(Dashboard!$C$2:$AF$31,MATCH(LARGE(Dashboard!$AI$2:$AI$31,$A23),Dashboard!$AI$2:$AI$31,0),COLUMNS($D23:L23)))&amp;"/"&amp;INDEX(Management!$B$7:$B$36,COLUMNS($D23:L23)))</f>
        <v>6/10</v>
      </c>
      <c r="M23" s="85" t="str" cm="1">
        <f t="array" ref="M23">IF(OR($A23="",COLUMNS($D23:M23)&gt;Management!$C$4),"",N(INDEX(Dashboard!$C$2:$AF$31,MATCH(LARGE(Dashboard!$AI$2:$AI$31,$A23),Dashboard!$AI$2:$AI$31,0),COLUMNS($D23:M23)))&amp;"/"&amp;INDEX(Management!$B$7:$B$36,COLUMNS($D23:M23)))</f>
        <v>6/10</v>
      </c>
      <c r="N23" s="85" t="str" cm="1">
        <f t="array" ref="N23">IF(OR($A23="",COLUMNS($D23:N23)&gt;Management!$C$4),"",N(INDEX(Dashboard!$C$2:$AF$31,MATCH(LARGE(Dashboard!$AI$2:$AI$31,$A23),Dashboard!$AI$2:$AI$31,0),COLUMNS($D23:N23)))&amp;"/"&amp;INDEX(Management!$B$7:$B$36,COLUMNS($D23:N23)))</f>
        <v>0/5</v>
      </c>
      <c r="O23" s="85" t="str" cm="1">
        <f t="array" ref="O23">IF(OR($A23="",COLUMNS($D23:O23)&gt;Management!$C$4),"",N(INDEX(Dashboard!$C$2:$AF$31,MATCH(LARGE(Dashboard!$AI$2:$AI$31,$A23),Dashboard!$AI$2:$AI$31,0),COLUMNS($D23:O23)))&amp;"/"&amp;INDEX(Management!$B$7:$B$36,COLUMNS($D23:O23)))</f>
        <v>6/10</v>
      </c>
      <c r="P23" s="85" t="str" cm="1">
        <f t="array" ref="P23">IF(OR($A23="",COLUMNS($D23:P23)&gt;Management!$C$4),"",N(INDEX(Dashboard!$C$2:$AF$31,MATCH(LARGE(Dashboard!$AI$2:$AI$31,$A23),Dashboard!$AI$2:$AI$31,0),COLUMNS($D23:P23)))&amp;"/"&amp;INDEX(Management!$B$7:$B$36,COLUMNS($D23:P23)))</f>
        <v>6/10</v>
      </c>
      <c r="Q23" s="85" t="str" cm="1">
        <f t="array" ref="Q23">IF(OR($A23="",COLUMNS($D23:Q23)&gt;Management!$C$4),"",N(INDEX(Dashboard!$C$2:$AF$31,MATCH(LARGE(Dashboard!$AI$2:$AI$31,$A23),Dashboard!$AI$2:$AI$31,0),COLUMNS($D23:Q23)))&amp;"/"&amp;INDEX(Management!$B$7:$B$36,COLUMNS($D23:Q23)))</f>
        <v/>
      </c>
      <c r="R23" s="85" t="str" cm="1">
        <f t="array" ref="R23">IF(OR($A23="",COLUMNS($D23:R23)&gt;Management!$C$4),"",N(INDEX(Dashboard!$C$2:$AF$31,MATCH(LARGE(Dashboard!$AI$2:$AI$31,$A23),Dashboard!$AI$2:$AI$31,0),COLUMNS($D23:R23)))&amp;"/"&amp;INDEX(Management!$B$7:$B$36,COLUMNS($D23:R23)))</f>
        <v/>
      </c>
      <c r="S23" s="85" t="str" cm="1">
        <f t="array" ref="S23">IF(OR($A23="",COLUMNS($D23:S23)&gt;Management!$C$4),"",N(INDEX(Dashboard!$C$2:$AF$31,MATCH(LARGE(Dashboard!$AI$2:$AI$31,$A23),Dashboard!$AI$2:$AI$31,0),COLUMNS($D23:S23)))&amp;"/"&amp;INDEX(Management!$B$7:$B$36,COLUMNS($D23:S23)))</f>
        <v/>
      </c>
      <c r="T23" s="85" t="str" cm="1">
        <f t="array" ref="T23">IF(OR($A23="",COLUMNS($D23:T23)&gt;Management!$C$4),"",N(INDEX(Dashboard!$C$2:$AF$31,MATCH(LARGE(Dashboard!$AI$2:$AI$31,$A23),Dashboard!$AI$2:$AI$31,0),COLUMNS($D23:T23)))&amp;"/"&amp;INDEX(Management!$B$7:$B$36,COLUMNS($D23:T23)))</f>
        <v/>
      </c>
      <c r="U23" s="85" t="str" cm="1">
        <f t="array" ref="U23">IF(OR($A23="",COLUMNS($D23:U23)&gt;Management!$C$4),"",N(INDEX(Dashboard!$C$2:$AF$31,MATCH(LARGE(Dashboard!$AI$2:$AI$31,$A23),Dashboard!$AI$2:$AI$31,0),COLUMNS($D23:U23)))&amp;"/"&amp;INDEX(Management!$B$7:$B$36,COLUMNS($D23:U23)))</f>
        <v/>
      </c>
      <c r="V23" s="85" t="str" cm="1">
        <f t="array" ref="V23">IF(OR($A23="",COLUMNS($D23:V23)&gt;Management!$C$4),"",N(INDEX(Dashboard!$C$2:$AF$31,MATCH(LARGE(Dashboard!$AI$2:$AI$31,$A23),Dashboard!$AI$2:$AI$31,0),COLUMNS($D23:V23)))&amp;"/"&amp;INDEX(Management!$B$7:$B$36,COLUMNS($D23:V23)))</f>
        <v/>
      </c>
      <c r="W23" s="85" t="str" cm="1">
        <f t="array" ref="W23">IF(OR($A23="",COLUMNS($D23:W23)&gt;Management!$C$4),"",N(INDEX(Dashboard!$C$2:$AF$31,MATCH(LARGE(Dashboard!$AI$2:$AI$31,$A23),Dashboard!$AI$2:$AI$31,0),COLUMNS($D23:W23)))&amp;"/"&amp;INDEX(Management!$B$7:$B$36,COLUMNS($D23:W23)))</f>
        <v/>
      </c>
      <c r="X23" s="85" t="str" cm="1">
        <f t="array" ref="X23">IF(OR($A23="",COLUMNS($D23:X23)&gt;Management!$C$4),"",N(INDEX(Dashboard!$C$2:$AF$31,MATCH(LARGE(Dashboard!$AI$2:$AI$31,$A23),Dashboard!$AI$2:$AI$31,0),COLUMNS($D23:X23)))&amp;"/"&amp;INDEX(Management!$B$7:$B$36,COLUMNS($D23:X23)))</f>
        <v/>
      </c>
      <c r="Y23" s="85" t="str" cm="1">
        <f t="array" ref="Y23">IF(OR($A23="",COLUMNS($D23:Y23)&gt;Management!$C$4),"",N(INDEX(Dashboard!$C$2:$AF$31,MATCH(LARGE(Dashboard!$AI$2:$AI$31,$A23),Dashboard!$AI$2:$AI$31,0),COLUMNS($D23:Y23)))&amp;"/"&amp;INDEX(Management!$B$7:$B$36,COLUMNS($D23:Y23)))</f>
        <v/>
      </c>
      <c r="Z23" s="85" t="str" cm="1">
        <f t="array" ref="Z23">IF(OR($A23="",COLUMNS($D23:Z23)&gt;Management!$C$4),"",N(INDEX(Dashboard!$C$2:$AF$31,MATCH(LARGE(Dashboard!$AI$2:$AI$31,$A23),Dashboard!$AI$2:$AI$31,0),COLUMNS($D23:Z23)))&amp;"/"&amp;INDEX(Management!$B$7:$B$36,COLUMNS($D23:Z23)))</f>
        <v/>
      </c>
      <c r="AA23" s="85" t="str" cm="1">
        <f t="array" ref="AA23">IF(OR($A23="",COLUMNS($D23:AA23)&gt;Management!$C$4),"",N(INDEX(Dashboard!$C$2:$AF$31,MATCH(LARGE(Dashboard!$AI$2:$AI$31,$A23),Dashboard!$AI$2:$AI$31,0),COLUMNS($D23:AA23)))&amp;"/"&amp;INDEX(Management!$B$7:$B$36,COLUMNS($D23:AA23)))</f>
        <v/>
      </c>
      <c r="AB23" s="85" t="str" cm="1">
        <f t="array" ref="AB23">IF(OR($A23="",COLUMNS($D23:AB23)&gt;Management!$C$4),"",N(INDEX(Dashboard!$C$2:$AF$31,MATCH(LARGE(Dashboard!$AI$2:$AI$31,$A23),Dashboard!$AI$2:$AI$31,0),COLUMNS($D23:AB23)))&amp;"/"&amp;INDEX(Management!$B$7:$B$36,COLUMNS($D23:AB23)))</f>
        <v/>
      </c>
      <c r="AC23" s="85" t="str" cm="1">
        <f t="array" ref="AC23">IF(OR($A23="",COLUMNS($D23:AC23)&gt;Management!$C$4),"",N(INDEX(Dashboard!$C$2:$AF$31,MATCH(LARGE(Dashboard!$AI$2:$AI$31,$A23),Dashboard!$AI$2:$AI$31,0),COLUMNS($D23:AC23)))&amp;"/"&amp;INDEX(Management!$B$7:$B$36,COLUMNS($D23:AC23)))</f>
        <v/>
      </c>
      <c r="AD23" s="85" t="str" cm="1">
        <f t="array" ref="AD23">IF(OR($A23="",COLUMNS($D23:AD23)&gt;Management!$C$4),"",N(INDEX(Dashboard!$C$2:$AF$31,MATCH(LARGE(Dashboard!$AI$2:$AI$31,$A23),Dashboard!$AI$2:$AI$31,0),COLUMNS($D23:AD23)))&amp;"/"&amp;INDEX(Management!$B$7:$B$36,COLUMNS($D23:AD23)))</f>
        <v/>
      </c>
      <c r="AE23" s="85" t="str" cm="1">
        <f t="array" ref="AE23">IF(OR($A23="",COLUMNS($D23:AE23)&gt;Management!$C$4),"",N(INDEX(Dashboard!$C$2:$AF$31,MATCH(LARGE(Dashboard!$AI$2:$AI$31,$A23),Dashboard!$AI$2:$AI$31,0),COLUMNS($D23:AE23)))&amp;"/"&amp;INDEX(Management!$B$7:$B$36,COLUMNS($D23:AE23)))</f>
        <v/>
      </c>
      <c r="AF23" s="85" t="str" cm="1">
        <f t="array" ref="AF23">IF(OR($A23="",COLUMNS($D23:AF23)&gt;Management!$C$4),"",N(INDEX(Dashboard!$C$2:$AF$31,MATCH(LARGE(Dashboard!$AI$2:$AI$31,$A23),Dashboard!$AI$2:$AI$31,0),COLUMNS($D23:AF23)))&amp;"/"&amp;INDEX(Management!$B$7:$B$36,COLUMNS($D23:AF23)))</f>
        <v/>
      </c>
      <c r="AG23" s="86" t="str" cm="1">
        <f t="array" ref="AG23">IF(OR($A23="",COLUMNS($D23:AG23)&gt;Management!$C$4),"",N(INDEX(Dashboard!$C$2:$AF$31,MATCH(LARGE(Dashboard!$AI$2:$AI$31,$A23),Dashboard!$AI$2:$AI$31,0),COLUMNS($D23:AG23)))&amp;"/"&amp;INDEX(Management!$B$7:$B$36,COLUMNS($D23:AG23)))</f>
        <v/>
      </c>
    </row>
    <row r="24" spans="1:33" ht="24" customHeight="1" x14ac:dyDescent="0.45">
      <c r="A24" s="81">
        <f>IF(ROWS($A$2:A24)&gt;COUNTA(Management!$F$7:$F$36),"",ROWS($A$2:A24))</f>
        <v>23</v>
      </c>
      <c r="B24" s="95" t="str">
        <f>IF($A24="","",INDEX(Dashboard!$A$2:$A$31,MATCH(LARGE(Dashboard!$AI$2:$AI$31,$A24),Dashboard!$AI$2:$AI$31,0)))</f>
        <v>Team27</v>
      </c>
      <c r="C24" s="110" t="str">
        <f>IF($A24="","",INDEX(Dashboard!$AG$2:$AG$31,MATCH(LARGE(Dashboard!$AI$2:$AI$31,$A24),Dashboard!$AI$2:$AI$31,0))&amp;" / "&amp;INDEX(Dashboard!$AH$2:$AH$31,MATCH(LARGE(Dashboard!$AI$2:$AI$31,$A24),Dashboard!$AI$2:$AI$31,0)))</f>
        <v>63 / 140</v>
      </c>
      <c r="D24" s="102" t="str" cm="1">
        <f t="array" ref="D24">IF(OR($A24="",COLUMNS($D24:D24)&gt;Management!$C$4),"",N(INDEX(Dashboard!$C$2:$AF$31,MATCH(LARGE(Dashboard!$AI$2:$AI$31,$A24),Dashboard!$AI$2:$AI$31,0),COLUMNS($D24:D24)))&amp;"/"&amp;INDEX(Management!$B$7:$B$36,COLUMNS($D24:D24)))</f>
        <v>8/10</v>
      </c>
      <c r="E24" s="82" t="str" cm="1">
        <f t="array" ref="E24">IF(OR($A24="",COLUMNS($D24:E24)&gt;Management!$C$4),"",N(INDEX(Dashboard!$C$2:$AF$31,MATCH(LARGE(Dashboard!$AI$2:$AI$31,$A24),Dashboard!$AI$2:$AI$31,0),COLUMNS($D24:E24)))&amp;"/"&amp;INDEX(Management!$B$7:$B$36,COLUMNS($D24:E24)))</f>
        <v>5/10</v>
      </c>
      <c r="F24" s="82" t="str" cm="1">
        <f t="array" ref="F24">IF(OR($A24="",COLUMNS($D24:F24)&gt;Management!$C$4),"",N(INDEX(Dashboard!$C$2:$AF$31,MATCH(LARGE(Dashboard!$AI$2:$AI$31,$A24),Dashboard!$AI$2:$AI$31,0),COLUMNS($D24:F24)))&amp;"/"&amp;INDEX(Management!$B$7:$B$36,COLUMNS($D24:F24)))</f>
        <v>5/10</v>
      </c>
      <c r="G24" s="82" t="str" cm="1">
        <f t="array" ref="G24">IF(OR($A24="",COLUMNS($D24:G24)&gt;Management!$C$4),"",N(INDEX(Dashboard!$C$2:$AF$31,MATCH(LARGE(Dashboard!$AI$2:$AI$31,$A24),Dashboard!$AI$2:$AI$31,0),COLUMNS($D24:G24)))&amp;"/"&amp;INDEX(Management!$B$7:$B$36,COLUMNS($D24:G24)))</f>
        <v>5/20</v>
      </c>
      <c r="H24" s="82" t="str" cm="1">
        <f t="array" ref="H24">IF(OR($A24="",COLUMNS($D24:H24)&gt;Management!$C$4),"",N(INDEX(Dashboard!$C$2:$AF$31,MATCH(LARGE(Dashboard!$AI$2:$AI$31,$A24),Dashboard!$AI$2:$AI$31,0),COLUMNS($D24:H24)))&amp;"/"&amp;INDEX(Management!$B$7:$B$36,COLUMNS($D24:H24)))</f>
        <v>5/10</v>
      </c>
      <c r="I24" s="82" t="str" cm="1">
        <f t="array" ref="I24">IF(OR($A24="",COLUMNS($D24:I24)&gt;Management!$C$4),"",N(INDEX(Dashboard!$C$2:$AF$31,MATCH(LARGE(Dashboard!$AI$2:$AI$31,$A24),Dashboard!$AI$2:$AI$31,0),COLUMNS($D24:I24)))&amp;"/"&amp;INDEX(Management!$B$7:$B$36,COLUMNS($D24:I24)))</f>
        <v>5/10</v>
      </c>
      <c r="J24" s="82" t="str" cm="1">
        <f t="array" ref="J24">IF(OR($A24="",COLUMNS($D24:J24)&gt;Management!$C$4),"",N(INDEX(Dashboard!$C$2:$AF$31,MATCH(LARGE(Dashboard!$AI$2:$AI$31,$A24),Dashboard!$AI$2:$AI$31,0),COLUMNS($D24:J24)))&amp;"/"&amp;INDEX(Management!$B$7:$B$36,COLUMNS($D24:J24)))</f>
        <v>5/10</v>
      </c>
      <c r="K24" s="82" t="str" cm="1">
        <f t="array" ref="K24">IF(OR($A24="",COLUMNS($D24:K24)&gt;Management!$C$4),"",N(INDEX(Dashboard!$C$2:$AF$31,MATCH(LARGE(Dashboard!$AI$2:$AI$31,$A24),Dashboard!$AI$2:$AI$31,0),COLUMNS($D24:K24)))&amp;"/"&amp;INDEX(Management!$B$7:$B$36,COLUMNS($D24:K24)))</f>
        <v>5/15</v>
      </c>
      <c r="L24" s="82" t="str" cm="1">
        <f t="array" ref="L24">IF(OR($A24="",COLUMNS($D24:L24)&gt;Management!$C$4),"",N(INDEX(Dashboard!$C$2:$AF$31,MATCH(LARGE(Dashboard!$AI$2:$AI$31,$A24),Dashboard!$AI$2:$AI$31,0),COLUMNS($D24:L24)))&amp;"/"&amp;INDEX(Management!$B$7:$B$36,COLUMNS($D24:L24)))</f>
        <v>5/10</v>
      </c>
      <c r="M24" s="82" t="str" cm="1">
        <f t="array" ref="M24">IF(OR($A24="",COLUMNS($D24:M24)&gt;Management!$C$4),"",N(INDEX(Dashboard!$C$2:$AF$31,MATCH(LARGE(Dashboard!$AI$2:$AI$31,$A24),Dashboard!$AI$2:$AI$31,0),COLUMNS($D24:M24)))&amp;"/"&amp;INDEX(Management!$B$7:$B$36,COLUMNS($D24:M24)))</f>
        <v>5/10</v>
      </c>
      <c r="N24" s="82" t="str" cm="1">
        <f t="array" ref="N24">IF(OR($A24="",COLUMNS($D24:N24)&gt;Management!$C$4),"",N(INDEX(Dashboard!$C$2:$AF$31,MATCH(LARGE(Dashboard!$AI$2:$AI$31,$A24),Dashboard!$AI$2:$AI$31,0),COLUMNS($D24:N24)))&amp;"/"&amp;INDEX(Management!$B$7:$B$36,COLUMNS($D24:N24)))</f>
        <v>0/5</v>
      </c>
      <c r="O24" s="82" t="str" cm="1">
        <f t="array" ref="O24">IF(OR($A24="",COLUMNS($D24:O24)&gt;Management!$C$4),"",N(INDEX(Dashboard!$C$2:$AF$31,MATCH(LARGE(Dashboard!$AI$2:$AI$31,$A24),Dashboard!$AI$2:$AI$31,0),COLUMNS($D24:O24)))&amp;"/"&amp;INDEX(Management!$B$7:$B$36,COLUMNS($D24:O24)))</f>
        <v>5/10</v>
      </c>
      <c r="P24" s="82" t="str" cm="1">
        <f t="array" ref="P24">IF(OR($A24="",COLUMNS($D24:P24)&gt;Management!$C$4),"",N(INDEX(Dashboard!$C$2:$AF$31,MATCH(LARGE(Dashboard!$AI$2:$AI$31,$A24),Dashboard!$AI$2:$AI$31,0),COLUMNS($D24:P24)))&amp;"/"&amp;INDEX(Management!$B$7:$B$36,COLUMNS($D24:P24)))</f>
        <v>5/10</v>
      </c>
      <c r="Q24" s="82" t="str" cm="1">
        <f t="array" ref="Q24">IF(OR($A24="",COLUMNS($D24:Q24)&gt;Management!$C$4),"",N(INDEX(Dashboard!$C$2:$AF$31,MATCH(LARGE(Dashboard!$AI$2:$AI$31,$A24),Dashboard!$AI$2:$AI$31,0),COLUMNS($D24:Q24)))&amp;"/"&amp;INDEX(Management!$B$7:$B$36,COLUMNS($D24:Q24)))</f>
        <v/>
      </c>
      <c r="R24" s="82" t="str" cm="1">
        <f t="array" ref="R24">IF(OR($A24="",COLUMNS($D24:R24)&gt;Management!$C$4),"",N(INDEX(Dashboard!$C$2:$AF$31,MATCH(LARGE(Dashboard!$AI$2:$AI$31,$A24),Dashboard!$AI$2:$AI$31,0),COLUMNS($D24:R24)))&amp;"/"&amp;INDEX(Management!$B$7:$B$36,COLUMNS($D24:R24)))</f>
        <v/>
      </c>
      <c r="S24" s="82" t="str" cm="1">
        <f t="array" ref="S24">IF(OR($A24="",COLUMNS($D24:S24)&gt;Management!$C$4),"",N(INDEX(Dashboard!$C$2:$AF$31,MATCH(LARGE(Dashboard!$AI$2:$AI$31,$A24),Dashboard!$AI$2:$AI$31,0),COLUMNS($D24:S24)))&amp;"/"&amp;INDEX(Management!$B$7:$B$36,COLUMNS($D24:S24)))</f>
        <v/>
      </c>
      <c r="T24" s="82" t="str" cm="1">
        <f t="array" ref="T24">IF(OR($A24="",COLUMNS($D24:T24)&gt;Management!$C$4),"",N(INDEX(Dashboard!$C$2:$AF$31,MATCH(LARGE(Dashboard!$AI$2:$AI$31,$A24),Dashboard!$AI$2:$AI$31,0),COLUMNS($D24:T24)))&amp;"/"&amp;INDEX(Management!$B$7:$B$36,COLUMNS($D24:T24)))</f>
        <v/>
      </c>
      <c r="U24" s="82" t="str" cm="1">
        <f t="array" ref="U24">IF(OR($A24="",COLUMNS($D24:U24)&gt;Management!$C$4),"",N(INDEX(Dashboard!$C$2:$AF$31,MATCH(LARGE(Dashboard!$AI$2:$AI$31,$A24),Dashboard!$AI$2:$AI$31,0),COLUMNS($D24:U24)))&amp;"/"&amp;INDEX(Management!$B$7:$B$36,COLUMNS($D24:U24)))</f>
        <v/>
      </c>
      <c r="V24" s="82" t="str" cm="1">
        <f t="array" ref="V24">IF(OR($A24="",COLUMNS($D24:V24)&gt;Management!$C$4),"",N(INDEX(Dashboard!$C$2:$AF$31,MATCH(LARGE(Dashboard!$AI$2:$AI$31,$A24),Dashboard!$AI$2:$AI$31,0),COLUMNS($D24:V24)))&amp;"/"&amp;INDEX(Management!$B$7:$B$36,COLUMNS($D24:V24)))</f>
        <v/>
      </c>
      <c r="W24" s="82" t="str" cm="1">
        <f t="array" ref="W24">IF(OR($A24="",COLUMNS($D24:W24)&gt;Management!$C$4),"",N(INDEX(Dashboard!$C$2:$AF$31,MATCH(LARGE(Dashboard!$AI$2:$AI$31,$A24),Dashboard!$AI$2:$AI$31,0),COLUMNS($D24:W24)))&amp;"/"&amp;INDEX(Management!$B$7:$B$36,COLUMNS($D24:W24)))</f>
        <v/>
      </c>
      <c r="X24" s="82" t="str" cm="1">
        <f t="array" ref="X24">IF(OR($A24="",COLUMNS($D24:X24)&gt;Management!$C$4),"",N(INDEX(Dashboard!$C$2:$AF$31,MATCH(LARGE(Dashboard!$AI$2:$AI$31,$A24),Dashboard!$AI$2:$AI$31,0),COLUMNS($D24:X24)))&amp;"/"&amp;INDEX(Management!$B$7:$B$36,COLUMNS($D24:X24)))</f>
        <v/>
      </c>
      <c r="Y24" s="82" t="str" cm="1">
        <f t="array" ref="Y24">IF(OR($A24="",COLUMNS($D24:Y24)&gt;Management!$C$4),"",N(INDEX(Dashboard!$C$2:$AF$31,MATCH(LARGE(Dashboard!$AI$2:$AI$31,$A24),Dashboard!$AI$2:$AI$31,0),COLUMNS($D24:Y24)))&amp;"/"&amp;INDEX(Management!$B$7:$B$36,COLUMNS($D24:Y24)))</f>
        <v/>
      </c>
      <c r="Z24" s="82" t="str" cm="1">
        <f t="array" ref="Z24">IF(OR($A24="",COLUMNS($D24:Z24)&gt;Management!$C$4),"",N(INDEX(Dashboard!$C$2:$AF$31,MATCH(LARGE(Dashboard!$AI$2:$AI$31,$A24),Dashboard!$AI$2:$AI$31,0),COLUMNS($D24:Z24)))&amp;"/"&amp;INDEX(Management!$B$7:$B$36,COLUMNS($D24:Z24)))</f>
        <v/>
      </c>
      <c r="AA24" s="82" t="str" cm="1">
        <f t="array" ref="AA24">IF(OR($A24="",COLUMNS($D24:AA24)&gt;Management!$C$4),"",N(INDEX(Dashboard!$C$2:$AF$31,MATCH(LARGE(Dashboard!$AI$2:$AI$31,$A24),Dashboard!$AI$2:$AI$31,0),COLUMNS($D24:AA24)))&amp;"/"&amp;INDEX(Management!$B$7:$B$36,COLUMNS($D24:AA24)))</f>
        <v/>
      </c>
      <c r="AB24" s="82" t="str" cm="1">
        <f t="array" ref="AB24">IF(OR($A24="",COLUMNS($D24:AB24)&gt;Management!$C$4),"",N(INDEX(Dashboard!$C$2:$AF$31,MATCH(LARGE(Dashboard!$AI$2:$AI$31,$A24),Dashboard!$AI$2:$AI$31,0),COLUMNS($D24:AB24)))&amp;"/"&amp;INDEX(Management!$B$7:$B$36,COLUMNS($D24:AB24)))</f>
        <v/>
      </c>
      <c r="AC24" s="82" t="str" cm="1">
        <f t="array" ref="AC24">IF(OR($A24="",COLUMNS($D24:AC24)&gt;Management!$C$4),"",N(INDEX(Dashboard!$C$2:$AF$31,MATCH(LARGE(Dashboard!$AI$2:$AI$31,$A24),Dashboard!$AI$2:$AI$31,0),COLUMNS($D24:AC24)))&amp;"/"&amp;INDEX(Management!$B$7:$B$36,COLUMNS($D24:AC24)))</f>
        <v/>
      </c>
      <c r="AD24" s="82" t="str" cm="1">
        <f t="array" ref="AD24">IF(OR($A24="",COLUMNS($D24:AD24)&gt;Management!$C$4),"",N(INDEX(Dashboard!$C$2:$AF$31,MATCH(LARGE(Dashboard!$AI$2:$AI$31,$A24),Dashboard!$AI$2:$AI$31,0),COLUMNS($D24:AD24)))&amp;"/"&amp;INDEX(Management!$B$7:$B$36,COLUMNS($D24:AD24)))</f>
        <v/>
      </c>
      <c r="AE24" s="82" t="str" cm="1">
        <f t="array" ref="AE24">IF(OR($A24="",COLUMNS($D24:AE24)&gt;Management!$C$4),"",N(INDEX(Dashboard!$C$2:$AF$31,MATCH(LARGE(Dashboard!$AI$2:$AI$31,$A24),Dashboard!$AI$2:$AI$31,0),COLUMNS($D24:AE24)))&amp;"/"&amp;INDEX(Management!$B$7:$B$36,COLUMNS($D24:AE24)))</f>
        <v/>
      </c>
      <c r="AF24" s="82" t="str" cm="1">
        <f t="array" ref="AF24">IF(OR($A24="",COLUMNS($D24:AF24)&gt;Management!$C$4),"",N(INDEX(Dashboard!$C$2:$AF$31,MATCH(LARGE(Dashboard!$AI$2:$AI$31,$A24),Dashboard!$AI$2:$AI$31,0),COLUMNS($D24:AF24)))&amp;"/"&amp;INDEX(Management!$B$7:$B$36,COLUMNS($D24:AF24)))</f>
        <v/>
      </c>
      <c r="AG24" s="83" t="str" cm="1">
        <f t="array" ref="AG24">IF(OR($A24="",COLUMNS($D24:AG24)&gt;Management!$C$4),"",N(INDEX(Dashboard!$C$2:$AF$31,MATCH(LARGE(Dashboard!$AI$2:$AI$31,$A24),Dashboard!$AI$2:$AI$31,0),COLUMNS($D24:AG24)))&amp;"/"&amp;INDEX(Management!$B$7:$B$36,COLUMNS($D24:AG24)))</f>
        <v/>
      </c>
    </row>
    <row r="25" spans="1:33" ht="24" customHeight="1" x14ac:dyDescent="0.45">
      <c r="A25" s="84">
        <f>IF(ROWS($A$2:A25)&gt;COUNTA(Management!$F$7:$F$36),"",ROWS($A$2:A25))</f>
        <v>24</v>
      </c>
      <c r="B25" s="96" t="str">
        <f>IF($A25="","",INDEX(Dashboard!$A$2:$A$31,MATCH(LARGE(Dashboard!$AI$2:$AI$31,$A25),Dashboard!$AI$2:$AI$31,0)))</f>
        <v>Team33</v>
      </c>
      <c r="C25" s="110" t="str">
        <f>IF($A25="","",INDEX(Dashboard!$AG$2:$AG$31,MATCH(LARGE(Dashboard!$AI$2:$AI$31,$A25),Dashboard!$AI$2:$AI$31,0))&amp;" / "&amp;INDEX(Dashboard!$AH$2:$AH$31,MATCH(LARGE(Dashboard!$AI$2:$AI$31,$A25),Dashboard!$AI$2:$AI$31,0)))</f>
        <v>63 / 140</v>
      </c>
      <c r="D25" s="103" t="str" cm="1">
        <f t="array" ref="D25">IF(OR($A25="",COLUMNS($D25:D25)&gt;Management!$C$4),"",N(INDEX(Dashboard!$C$2:$AF$31,MATCH(LARGE(Dashboard!$AI$2:$AI$31,$A25),Dashboard!$AI$2:$AI$31,0),COLUMNS($D25:D25)))&amp;"/"&amp;INDEX(Management!$B$7:$B$36,COLUMNS($D25:D25)))</f>
        <v>8/10</v>
      </c>
      <c r="E25" s="85" t="str" cm="1">
        <f t="array" ref="E25">IF(OR($A25="",COLUMNS($D25:E25)&gt;Management!$C$4),"",N(INDEX(Dashboard!$C$2:$AF$31,MATCH(LARGE(Dashboard!$AI$2:$AI$31,$A25),Dashboard!$AI$2:$AI$31,0),COLUMNS($D25:E25)))&amp;"/"&amp;INDEX(Management!$B$7:$B$36,COLUMNS($D25:E25)))</f>
        <v>8/10</v>
      </c>
      <c r="F25" s="85" t="str" cm="1">
        <f t="array" ref="F25">IF(OR($A25="",COLUMNS($D25:F25)&gt;Management!$C$4),"",N(INDEX(Dashboard!$C$2:$AF$31,MATCH(LARGE(Dashboard!$AI$2:$AI$31,$A25),Dashboard!$AI$2:$AI$31,0),COLUMNS($D25:F25)))&amp;"/"&amp;INDEX(Management!$B$7:$B$36,COLUMNS($D25:F25)))</f>
        <v>6/10</v>
      </c>
      <c r="G25" s="85" t="str" cm="1">
        <f t="array" ref="G25">IF(OR($A25="",COLUMNS($D25:G25)&gt;Management!$C$4),"",N(INDEX(Dashboard!$C$2:$AF$31,MATCH(LARGE(Dashboard!$AI$2:$AI$31,$A25),Dashboard!$AI$2:$AI$31,0),COLUMNS($D25:G25)))&amp;"/"&amp;INDEX(Management!$B$7:$B$36,COLUMNS($D25:G25)))</f>
        <v>3/20</v>
      </c>
      <c r="H25" s="85" t="str" cm="1">
        <f t="array" ref="H25">IF(OR($A25="",COLUMNS($D25:H25)&gt;Management!$C$4),"",N(INDEX(Dashboard!$C$2:$AF$31,MATCH(LARGE(Dashboard!$AI$2:$AI$31,$A25),Dashboard!$AI$2:$AI$31,0),COLUMNS($D25:H25)))&amp;"/"&amp;INDEX(Management!$B$7:$B$36,COLUMNS($D25:H25)))</f>
        <v>3/10</v>
      </c>
      <c r="I25" s="85" t="str" cm="1">
        <f t="array" ref="I25">IF(OR($A25="",COLUMNS($D25:I25)&gt;Management!$C$4),"",N(INDEX(Dashboard!$C$2:$AF$31,MATCH(LARGE(Dashboard!$AI$2:$AI$31,$A25),Dashboard!$AI$2:$AI$31,0),COLUMNS($D25:I25)))&amp;"/"&amp;INDEX(Management!$B$7:$B$36,COLUMNS($D25:I25)))</f>
        <v>1/10</v>
      </c>
      <c r="J25" s="85" t="str" cm="1">
        <f t="array" ref="J25">IF(OR($A25="",COLUMNS($D25:J25)&gt;Management!$C$4),"",N(INDEX(Dashboard!$C$2:$AF$31,MATCH(LARGE(Dashboard!$AI$2:$AI$31,$A25),Dashboard!$AI$2:$AI$31,0),COLUMNS($D25:J25)))&amp;"/"&amp;INDEX(Management!$B$7:$B$36,COLUMNS($D25:J25)))</f>
        <v>6/10</v>
      </c>
      <c r="K25" s="85" t="str" cm="1">
        <f t="array" ref="K25">IF(OR($A25="",COLUMNS($D25:K25)&gt;Management!$C$4),"",N(INDEX(Dashboard!$C$2:$AF$31,MATCH(LARGE(Dashboard!$AI$2:$AI$31,$A25),Dashboard!$AI$2:$AI$31,0),COLUMNS($D25:K25)))&amp;"/"&amp;INDEX(Management!$B$7:$B$36,COLUMNS($D25:K25)))</f>
        <v>4/15</v>
      </c>
      <c r="L25" s="85" t="str" cm="1">
        <f t="array" ref="L25">IF(OR($A25="",COLUMNS($D25:L25)&gt;Management!$C$4),"",N(INDEX(Dashboard!$C$2:$AF$31,MATCH(LARGE(Dashboard!$AI$2:$AI$31,$A25),Dashboard!$AI$2:$AI$31,0),COLUMNS($D25:L25)))&amp;"/"&amp;INDEX(Management!$B$7:$B$36,COLUMNS($D25:L25)))</f>
        <v>6/10</v>
      </c>
      <c r="M25" s="85" t="str" cm="1">
        <f t="array" ref="M25">IF(OR($A25="",COLUMNS($D25:M25)&gt;Management!$C$4),"",N(INDEX(Dashboard!$C$2:$AF$31,MATCH(LARGE(Dashboard!$AI$2:$AI$31,$A25),Dashboard!$AI$2:$AI$31,0),COLUMNS($D25:M25)))&amp;"/"&amp;INDEX(Management!$B$7:$B$36,COLUMNS($D25:M25)))</f>
        <v>6/10</v>
      </c>
      <c r="N25" s="85" t="str" cm="1">
        <f t="array" ref="N25">IF(OR($A25="",COLUMNS($D25:N25)&gt;Management!$C$4),"",N(INDEX(Dashboard!$C$2:$AF$31,MATCH(LARGE(Dashboard!$AI$2:$AI$31,$A25),Dashboard!$AI$2:$AI$31,0),COLUMNS($D25:N25)))&amp;"/"&amp;INDEX(Management!$B$7:$B$36,COLUMNS($D25:N25)))</f>
        <v>0/5</v>
      </c>
      <c r="O25" s="85" t="str" cm="1">
        <f t="array" ref="O25">IF(OR($A25="",COLUMNS($D25:O25)&gt;Management!$C$4),"",N(INDEX(Dashboard!$C$2:$AF$31,MATCH(LARGE(Dashboard!$AI$2:$AI$31,$A25),Dashboard!$AI$2:$AI$31,0),COLUMNS($D25:O25)))&amp;"/"&amp;INDEX(Management!$B$7:$B$36,COLUMNS($D25:O25)))</f>
        <v>6/10</v>
      </c>
      <c r="P25" s="85" t="str" cm="1">
        <f t="array" ref="P25">IF(OR($A25="",COLUMNS($D25:P25)&gt;Management!$C$4),"",N(INDEX(Dashboard!$C$2:$AF$31,MATCH(LARGE(Dashboard!$AI$2:$AI$31,$A25),Dashboard!$AI$2:$AI$31,0),COLUMNS($D25:P25)))&amp;"/"&amp;INDEX(Management!$B$7:$B$36,COLUMNS($D25:P25)))</f>
        <v>6/10</v>
      </c>
      <c r="Q25" s="85" t="str" cm="1">
        <f t="array" ref="Q25">IF(OR($A25="",COLUMNS($D25:Q25)&gt;Management!$C$4),"",N(INDEX(Dashboard!$C$2:$AF$31,MATCH(LARGE(Dashboard!$AI$2:$AI$31,$A25),Dashboard!$AI$2:$AI$31,0),COLUMNS($D25:Q25)))&amp;"/"&amp;INDEX(Management!$B$7:$B$36,COLUMNS($D25:Q25)))</f>
        <v/>
      </c>
      <c r="R25" s="85" t="str" cm="1">
        <f t="array" ref="R25">IF(OR($A25="",COLUMNS($D25:R25)&gt;Management!$C$4),"",N(INDEX(Dashboard!$C$2:$AF$31,MATCH(LARGE(Dashboard!$AI$2:$AI$31,$A25),Dashboard!$AI$2:$AI$31,0),COLUMNS($D25:R25)))&amp;"/"&amp;INDEX(Management!$B$7:$B$36,COLUMNS($D25:R25)))</f>
        <v/>
      </c>
      <c r="S25" s="85" t="str" cm="1">
        <f t="array" ref="S25">IF(OR($A25="",COLUMNS($D25:S25)&gt;Management!$C$4),"",N(INDEX(Dashboard!$C$2:$AF$31,MATCH(LARGE(Dashboard!$AI$2:$AI$31,$A25),Dashboard!$AI$2:$AI$31,0),COLUMNS($D25:S25)))&amp;"/"&amp;INDEX(Management!$B$7:$B$36,COLUMNS($D25:S25)))</f>
        <v/>
      </c>
      <c r="T25" s="85" t="str" cm="1">
        <f t="array" ref="T25">IF(OR($A25="",COLUMNS($D25:T25)&gt;Management!$C$4),"",N(INDEX(Dashboard!$C$2:$AF$31,MATCH(LARGE(Dashboard!$AI$2:$AI$31,$A25),Dashboard!$AI$2:$AI$31,0),COLUMNS($D25:T25)))&amp;"/"&amp;INDEX(Management!$B$7:$B$36,COLUMNS($D25:T25)))</f>
        <v/>
      </c>
      <c r="U25" s="85" t="str" cm="1">
        <f t="array" ref="U25">IF(OR($A25="",COLUMNS($D25:U25)&gt;Management!$C$4),"",N(INDEX(Dashboard!$C$2:$AF$31,MATCH(LARGE(Dashboard!$AI$2:$AI$31,$A25),Dashboard!$AI$2:$AI$31,0),COLUMNS($D25:U25)))&amp;"/"&amp;INDEX(Management!$B$7:$B$36,COLUMNS($D25:U25)))</f>
        <v/>
      </c>
      <c r="V25" s="85" t="str" cm="1">
        <f t="array" ref="V25">IF(OR($A25="",COLUMNS($D25:V25)&gt;Management!$C$4),"",N(INDEX(Dashboard!$C$2:$AF$31,MATCH(LARGE(Dashboard!$AI$2:$AI$31,$A25),Dashboard!$AI$2:$AI$31,0),COLUMNS($D25:V25)))&amp;"/"&amp;INDEX(Management!$B$7:$B$36,COLUMNS($D25:V25)))</f>
        <v/>
      </c>
      <c r="W25" s="85" t="str" cm="1">
        <f t="array" ref="W25">IF(OR($A25="",COLUMNS($D25:W25)&gt;Management!$C$4),"",N(INDEX(Dashboard!$C$2:$AF$31,MATCH(LARGE(Dashboard!$AI$2:$AI$31,$A25),Dashboard!$AI$2:$AI$31,0),COLUMNS($D25:W25)))&amp;"/"&amp;INDEX(Management!$B$7:$B$36,COLUMNS($D25:W25)))</f>
        <v/>
      </c>
      <c r="X25" s="85" t="str" cm="1">
        <f t="array" ref="X25">IF(OR($A25="",COLUMNS($D25:X25)&gt;Management!$C$4),"",N(INDEX(Dashboard!$C$2:$AF$31,MATCH(LARGE(Dashboard!$AI$2:$AI$31,$A25),Dashboard!$AI$2:$AI$31,0),COLUMNS($D25:X25)))&amp;"/"&amp;INDEX(Management!$B$7:$B$36,COLUMNS($D25:X25)))</f>
        <v/>
      </c>
      <c r="Y25" s="85" t="str" cm="1">
        <f t="array" ref="Y25">IF(OR($A25="",COLUMNS($D25:Y25)&gt;Management!$C$4),"",N(INDEX(Dashboard!$C$2:$AF$31,MATCH(LARGE(Dashboard!$AI$2:$AI$31,$A25),Dashboard!$AI$2:$AI$31,0),COLUMNS($D25:Y25)))&amp;"/"&amp;INDEX(Management!$B$7:$B$36,COLUMNS($D25:Y25)))</f>
        <v/>
      </c>
      <c r="Z25" s="85" t="str" cm="1">
        <f t="array" ref="Z25">IF(OR($A25="",COLUMNS($D25:Z25)&gt;Management!$C$4),"",N(INDEX(Dashboard!$C$2:$AF$31,MATCH(LARGE(Dashboard!$AI$2:$AI$31,$A25),Dashboard!$AI$2:$AI$31,0),COLUMNS($D25:Z25)))&amp;"/"&amp;INDEX(Management!$B$7:$B$36,COLUMNS($D25:Z25)))</f>
        <v/>
      </c>
      <c r="AA25" s="85" t="str" cm="1">
        <f t="array" ref="AA25">IF(OR($A25="",COLUMNS($D25:AA25)&gt;Management!$C$4),"",N(INDEX(Dashboard!$C$2:$AF$31,MATCH(LARGE(Dashboard!$AI$2:$AI$31,$A25),Dashboard!$AI$2:$AI$31,0),COLUMNS($D25:AA25)))&amp;"/"&amp;INDEX(Management!$B$7:$B$36,COLUMNS($D25:AA25)))</f>
        <v/>
      </c>
      <c r="AB25" s="85" t="str" cm="1">
        <f t="array" ref="AB25">IF(OR($A25="",COLUMNS($D25:AB25)&gt;Management!$C$4),"",N(INDEX(Dashboard!$C$2:$AF$31,MATCH(LARGE(Dashboard!$AI$2:$AI$31,$A25),Dashboard!$AI$2:$AI$31,0),COLUMNS($D25:AB25)))&amp;"/"&amp;INDEX(Management!$B$7:$B$36,COLUMNS($D25:AB25)))</f>
        <v/>
      </c>
      <c r="AC25" s="85" t="str" cm="1">
        <f t="array" ref="AC25">IF(OR($A25="",COLUMNS($D25:AC25)&gt;Management!$C$4),"",N(INDEX(Dashboard!$C$2:$AF$31,MATCH(LARGE(Dashboard!$AI$2:$AI$31,$A25),Dashboard!$AI$2:$AI$31,0),COLUMNS($D25:AC25)))&amp;"/"&amp;INDEX(Management!$B$7:$B$36,COLUMNS($D25:AC25)))</f>
        <v/>
      </c>
      <c r="AD25" s="85" t="str" cm="1">
        <f t="array" ref="AD25">IF(OR($A25="",COLUMNS($D25:AD25)&gt;Management!$C$4),"",N(INDEX(Dashboard!$C$2:$AF$31,MATCH(LARGE(Dashboard!$AI$2:$AI$31,$A25),Dashboard!$AI$2:$AI$31,0),COLUMNS($D25:AD25)))&amp;"/"&amp;INDEX(Management!$B$7:$B$36,COLUMNS($D25:AD25)))</f>
        <v/>
      </c>
      <c r="AE25" s="85" t="str" cm="1">
        <f t="array" ref="AE25">IF(OR($A25="",COLUMNS($D25:AE25)&gt;Management!$C$4),"",N(INDEX(Dashboard!$C$2:$AF$31,MATCH(LARGE(Dashboard!$AI$2:$AI$31,$A25),Dashboard!$AI$2:$AI$31,0),COLUMNS($D25:AE25)))&amp;"/"&amp;INDEX(Management!$B$7:$B$36,COLUMNS($D25:AE25)))</f>
        <v/>
      </c>
      <c r="AF25" s="85" t="str" cm="1">
        <f t="array" ref="AF25">IF(OR($A25="",COLUMNS($D25:AF25)&gt;Management!$C$4),"",N(INDEX(Dashboard!$C$2:$AF$31,MATCH(LARGE(Dashboard!$AI$2:$AI$31,$A25),Dashboard!$AI$2:$AI$31,0),COLUMNS($D25:AF25)))&amp;"/"&amp;INDEX(Management!$B$7:$B$36,COLUMNS($D25:AF25)))</f>
        <v/>
      </c>
      <c r="AG25" s="86" t="str" cm="1">
        <f t="array" ref="AG25">IF(OR($A25="",COLUMNS($D25:AG25)&gt;Management!$C$4),"",N(INDEX(Dashboard!$C$2:$AF$31,MATCH(LARGE(Dashboard!$AI$2:$AI$31,$A25),Dashboard!$AI$2:$AI$31,0),COLUMNS($D25:AG25)))&amp;"/"&amp;INDEX(Management!$B$7:$B$36,COLUMNS($D25:AG25)))</f>
        <v/>
      </c>
    </row>
    <row r="26" spans="1:33" ht="24" customHeight="1" x14ac:dyDescent="0.45">
      <c r="A26" s="81">
        <f>IF(ROWS($A$2:A26)&gt;COUNTA(Management!$F$7:$F$36),"",ROWS($A$2:A26))</f>
        <v>25</v>
      </c>
      <c r="B26" s="95" t="str">
        <f>IF($A26="","",INDEX(Dashboard!$A$2:$A$31,MATCH(LARGE(Dashboard!$AI$2:$AI$31,$A26),Dashboard!$AI$2:$AI$31,0)))</f>
        <v>Team35</v>
      </c>
      <c r="C26" s="110" t="str">
        <f>IF($A26="","",INDEX(Dashboard!$AG$2:$AG$31,MATCH(LARGE(Dashboard!$AI$2:$AI$31,$A26),Dashboard!$AI$2:$AI$31,0))&amp;" / "&amp;INDEX(Dashboard!$AH$2:$AH$31,MATCH(LARGE(Dashboard!$AI$2:$AI$31,$A26),Dashboard!$AI$2:$AI$31,0)))</f>
        <v>63 / 140</v>
      </c>
      <c r="D26" s="102" t="str" cm="1">
        <f t="array" ref="D26">IF(OR($A26="",COLUMNS($D26:D26)&gt;Management!$C$4),"",N(INDEX(Dashboard!$C$2:$AF$31,MATCH(LARGE(Dashboard!$AI$2:$AI$31,$A26),Dashboard!$AI$2:$AI$31,0),COLUMNS($D26:D26)))&amp;"/"&amp;INDEX(Management!$B$7:$B$36,COLUMNS($D26:D26)))</f>
        <v>8/10</v>
      </c>
      <c r="E26" s="82" t="str" cm="1">
        <f t="array" ref="E26">IF(OR($A26="",COLUMNS($D26:E26)&gt;Management!$C$4),"",N(INDEX(Dashboard!$C$2:$AF$31,MATCH(LARGE(Dashboard!$AI$2:$AI$31,$A26),Dashboard!$AI$2:$AI$31,0),COLUMNS($D26:E26)))&amp;"/"&amp;INDEX(Management!$B$7:$B$36,COLUMNS($D26:E26)))</f>
        <v>5/10</v>
      </c>
      <c r="F26" s="82" t="str" cm="1">
        <f t="array" ref="F26">IF(OR($A26="",COLUMNS($D26:F26)&gt;Management!$C$4),"",N(INDEX(Dashboard!$C$2:$AF$31,MATCH(LARGE(Dashboard!$AI$2:$AI$31,$A26),Dashboard!$AI$2:$AI$31,0),COLUMNS($D26:F26)))&amp;"/"&amp;INDEX(Management!$B$7:$B$36,COLUMNS($D26:F26)))</f>
        <v>5/10</v>
      </c>
      <c r="G26" s="82" t="str" cm="1">
        <f t="array" ref="G26">IF(OR($A26="",COLUMNS($D26:G26)&gt;Management!$C$4),"",N(INDEX(Dashboard!$C$2:$AF$31,MATCH(LARGE(Dashboard!$AI$2:$AI$31,$A26),Dashboard!$AI$2:$AI$31,0),COLUMNS($D26:G26)))&amp;"/"&amp;INDEX(Management!$B$7:$B$36,COLUMNS($D26:G26)))</f>
        <v>5/20</v>
      </c>
      <c r="H26" s="82" t="str" cm="1">
        <f t="array" ref="H26">IF(OR($A26="",COLUMNS($D26:H26)&gt;Management!$C$4),"",N(INDEX(Dashboard!$C$2:$AF$31,MATCH(LARGE(Dashboard!$AI$2:$AI$31,$A26),Dashboard!$AI$2:$AI$31,0),COLUMNS($D26:H26)))&amp;"/"&amp;INDEX(Management!$B$7:$B$36,COLUMNS($D26:H26)))</f>
        <v>5/10</v>
      </c>
      <c r="I26" s="82" t="str" cm="1">
        <f t="array" ref="I26">IF(OR($A26="",COLUMNS($D26:I26)&gt;Management!$C$4),"",N(INDEX(Dashboard!$C$2:$AF$31,MATCH(LARGE(Dashboard!$AI$2:$AI$31,$A26),Dashboard!$AI$2:$AI$31,0),COLUMNS($D26:I26)))&amp;"/"&amp;INDEX(Management!$B$7:$B$36,COLUMNS($D26:I26)))</f>
        <v>5/10</v>
      </c>
      <c r="J26" s="82" t="str" cm="1">
        <f t="array" ref="J26">IF(OR($A26="",COLUMNS($D26:J26)&gt;Management!$C$4),"",N(INDEX(Dashboard!$C$2:$AF$31,MATCH(LARGE(Dashboard!$AI$2:$AI$31,$A26),Dashboard!$AI$2:$AI$31,0),COLUMNS($D26:J26)))&amp;"/"&amp;INDEX(Management!$B$7:$B$36,COLUMNS($D26:J26)))</f>
        <v>5/10</v>
      </c>
      <c r="K26" s="82" t="str" cm="1">
        <f t="array" ref="K26">IF(OR($A26="",COLUMNS($D26:K26)&gt;Management!$C$4),"",N(INDEX(Dashboard!$C$2:$AF$31,MATCH(LARGE(Dashboard!$AI$2:$AI$31,$A26),Dashboard!$AI$2:$AI$31,0),COLUMNS($D26:K26)))&amp;"/"&amp;INDEX(Management!$B$7:$B$36,COLUMNS($D26:K26)))</f>
        <v>5/15</v>
      </c>
      <c r="L26" s="82" t="str" cm="1">
        <f t="array" ref="L26">IF(OR($A26="",COLUMNS($D26:L26)&gt;Management!$C$4),"",N(INDEX(Dashboard!$C$2:$AF$31,MATCH(LARGE(Dashboard!$AI$2:$AI$31,$A26),Dashboard!$AI$2:$AI$31,0),COLUMNS($D26:L26)))&amp;"/"&amp;INDEX(Management!$B$7:$B$36,COLUMNS($D26:L26)))</f>
        <v>5/10</v>
      </c>
      <c r="M26" s="82" t="str" cm="1">
        <f t="array" ref="M26">IF(OR($A26="",COLUMNS($D26:M26)&gt;Management!$C$4),"",N(INDEX(Dashboard!$C$2:$AF$31,MATCH(LARGE(Dashboard!$AI$2:$AI$31,$A26),Dashboard!$AI$2:$AI$31,0),COLUMNS($D26:M26)))&amp;"/"&amp;INDEX(Management!$B$7:$B$36,COLUMNS($D26:M26)))</f>
        <v>5/10</v>
      </c>
      <c r="N26" s="82" t="str" cm="1">
        <f t="array" ref="N26">IF(OR($A26="",COLUMNS($D26:N26)&gt;Management!$C$4),"",N(INDEX(Dashboard!$C$2:$AF$31,MATCH(LARGE(Dashboard!$AI$2:$AI$31,$A26),Dashboard!$AI$2:$AI$31,0),COLUMNS($D26:N26)))&amp;"/"&amp;INDEX(Management!$B$7:$B$36,COLUMNS($D26:N26)))</f>
        <v>0/5</v>
      </c>
      <c r="O26" s="82" t="str" cm="1">
        <f t="array" ref="O26">IF(OR($A26="",COLUMNS($D26:O26)&gt;Management!$C$4),"",N(INDEX(Dashboard!$C$2:$AF$31,MATCH(LARGE(Dashboard!$AI$2:$AI$31,$A26),Dashboard!$AI$2:$AI$31,0),COLUMNS($D26:O26)))&amp;"/"&amp;INDEX(Management!$B$7:$B$36,COLUMNS($D26:O26)))</f>
        <v>5/10</v>
      </c>
      <c r="P26" s="82" t="str" cm="1">
        <f t="array" ref="P26">IF(OR($A26="",COLUMNS($D26:P26)&gt;Management!$C$4),"",N(INDEX(Dashboard!$C$2:$AF$31,MATCH(LARGE(Dashboard!$AI$2:$AI$31,$A26),Dashboard!$AI$2:$AI$31,0),COLUMNS($D26:P26)))&amp;"/"&amp;INDEX(Management!$B$7:$B$36,COLUMNS($D26:P26)))</f>
        <v>5/10</v>
      </c>
      <c r="Q26" s="82" t="str" cm="1">
        <f t="array" ref="Q26">IF(OR($A26="",COLUMNS($D26:Q26)&gt;Management!$C$4),"",N(INDEX(Dashboard!$C$2:$AF$31,MATCH(LARGE(Dashboard!$AI$2:$AI$31,$A26),Dashboard!$AI$2:$AI$31,0),COLUMNS($D26:Q26)))&amp;"/"&amp;INDEX(Management!$B$7:$B$36,COLUMNS($D26:Q26)))</f>
        <v/>
      </c>
      <c r="R26" s="82" t="str" cm="1">
        <f t="array" ref="R26">IF(OR($A26="",COLUMNS($D26:R26)&gt;Management!$C$4),"",N(INDEX(Dashboard!$C$2:$AF$31,MATCH(LARGE(Dashboard!$AI$2:$AI$31,$A26),Dashboard!$AI$2:$AI$31,0),COLUMNS($D26:R26)))&amp;"/"&amp;INDEX(Management!$B$7:$B$36,COLUMNS($D26:R26)))</f>
        <v/>
      </c>
      <c r="S26" s="82" t="str" cm="1">
        <f t="array" ref="S26">IF(OR($A26="",COLUMNS($D26:S26)&gt;Management!$C$4),"",N(INDEX(Dashboard!$C$2:$AF$31,MATCH(LARGE(Dashboard!$AI$2:$AI$31,$A26),Dashboard!$AI$2:$AI$31,0),COLUMNS($D26:S26)))&amp;"/"&amp;INDEX(Management!$B$7:$B$36,COLUMNS($D26:S26)))</f>
        <v/>
      </c>
      <c r="T26" s="82" t="str" cm="1">
        <f t="array" ref="T26">IF(OR($A26="",COLUMNS($D26:T26)&gt;Management!$C$4),"",N(INDEX(Dashboard!$C$2:$AF$31,MATCH(LARGE(Dashboard!$AI$2:$AI$31,$A26),Dashboard!$AI$2:$AI$31,0),COLUMNS($D26:T26)))&amp;"/"&amp;INDEX(Management!$B$7:$B$36,COLUMNS($D26:T26)))</f>
        <v/>
      </c>
      <c r="U26" s="82" t="str" cm="1">
        <f t="array" ref="U26">IF(OR($A26="",COLUMNS($D26:U26)&gt;Management!$C$4),"",N(INDEX(Dashboard!$C$2:$AF$31,MATCH(LARGE(Dashboard!$AI$2:$AI$31,$A26),Dashboard!$AI$2:$AI$31,0),COLUMNS($D26:U26)))&amp;"/"&amp;INDEX(Management!$B$7:$B$36,COLUMNS($D26:U26)))</f>
        <v/>
      </c>
      <c r="V26" s="82" t="str" cm="1">
        <f t="array" ref="V26">IF(OR($A26="",COLUMNS($D26:V26)&gt;Management!$C$4),"",N(INDEX(Dashboard!$C$2:$AF$31,MATCH(LARGE(Dashboard!$AI$2:$AI$31,$A26),Dashboard!$AI$2:$AI$31,0),COLUMNS($D26:V26)))&amp;"/"&amp;INDEX(Management!$B$7:$B$36,COLUMNS($D26:V26)))</f>
        <v/>
      </c>
      <c r="W26" s="82" t="str" cm="1">
        <f t="array" ref="W26">IF(OR($A26="",COLUMNS($D26:W26)&gt;Management!$C$4),"",N(INDEX(Dashboard!$C$2:$AF$31,MATCH(LARGE(Dashboard!$AI$2:$AI$31,$A26),Dashboard!$AI$2:$AI$31,0),COLUMNS($D26:W26)))&amp;"/"&amp;INDEX(Management!$B$7:$B$36,COLUMNS($D26:W26)))</f>
        <v/>
      </c>
      <c r="X26" s="82" t="str" cm="1">
        <f t="array" ref="X26">IF(OR($A26="",COLUMNS($D26:X26)&gt;Management!$C$4),"",N(INDEX(Dashboard!$C$2:$AF$31,MATCH(LARGE(Dashboard!$AI$2:$AI$31,$A26),Dashboard!$AI$2:$AI$31,0),COLUMNS($D26:X26)))&amp;"/"&amp;INDEX(Management!$B$7:$B$36,COLUMNS($D26:X26)))</f>
        <v/>
      </c>
      <c r="Y26" s="82" t="str" cm="1">
        <f t="array" ref="Y26">IF(OR($A26="",COLUMNS($D26:Y26)&gt;Management!$C$4),"",N(INDEX(Dashboard!$C$2:$AF$31,MATCH(LARGE(Dashboard!$AI$2:$AI$31,$A26),Dashboard!$AI$2:$AI$31,0),COLUMNS($D26:Y26)))&amp;"/"&amp;INDEX(Management!$B$7:$B$36,COLUMNS($D26:Y26)))</f>
        <v/>
      </c>
      <c r="Z26" s="82" t="str" cm="1">
        <f t="array" ref="Z26">IF(OR($A26="",COLUMNS($D26:Z26)&gt;Management!$C$4),"",N(INDEX(Dashboard!$C$2:$AF$31,MATCH(LARGE(Dashboard!$AI$2:$AI$31,$A26),Dashboard!$AI$2:$AI$31,0),COLUMNS($D26:Z26)))&amp;"/"&amp;INDEX(Management!$B$7:$B$36,COLUMNS($D26:Z26)))</f>
        <v/>
      </c>
      <c r="AA26" s="82" t="str" cm="1">
        <f t="array" ref="AA26">IF(OR($A26="",COLUMNS($D26:AA26)&gt;Management!$C$4),"",N(INDEX(Dashboard!$C$2:$AF$31,MATCH(LARGE(Dashboard!$AI$2:$AI$31,$A26),Dashboard!$AI$2:$AI$31,0),COLUMNS($D26:AA26)))&amp;"/"&amp;INDEX(Management!$B$7:$B$36,COLUMNS($D26:AA26)))</f>
        <v/>
      </c>
      <c r="AB26" s="82" t="str" cm="1">
        <f t="array" ref="AB26">IF(OR($A26="",COLUMNS($D26:AB26)&gt;Management!$C$4),"",N(INDEX(Dashboard!$C$2:$AF$31,MATCH(LARGE(Dashboard!$AI$2:$AI$31,$A26),Dashboard!$AI$2:$AI$31,0),COLUMNS($D26:AB26)))&amp;"/"&amp;INDEX(Management!$B$7:$B$36,COLUMNS($D26:AB26)))</f>
        <v/>
      </c>
      <c r="AC26" s="82" t="str" cm="1">
        <f t="array" ref="AC26">IF(OR($A26="",COLUMNS($D26:AC26)&gt;Management!$C$4),"",N(INDEX(Dashboard!$C$2:$AF$31,MATCH(LARGE(Dashboard!$AI$2:$AI$31,$A26),Dashboard!$AI$2:$AI$31,0),COLUMNS($D26:AC26)))&amp;"/"&amp;INDEX(Management!$B$7:$B$36,COLUMNS($D26:AC26)))</f>
        <v/>
      </c>
      <c r="AD26" s="82" t="str" cm="1">
        <f t="array" ref="AD26">IF(OR($A26="",COLUMNS($D26:AD26)&gt;Management!$C$4),"",N(INDEX(Dashboard!$C$2:$AF$31,MATCH(LARGE(Dashboard!$AI$2:$AI$31,$A26),Dashboard!$AI$2:$AI$31,0),COLUMNS($D26:AD26)))&amp;"/"&amp;INDEX(Management!$B$7:$B$36,COLUMNS($D26:AD26)))</f>
        <v/>
      </c>
      <c r="AE26" s="82" t="str" cm="1">
        <f t="array" ref="AE26">IF(OR($A26="",COLUMNS($D26:AE26)&gt;Management!$C$4),"",N(INDEX(Dashboard!$C$2:$AF$31,MATCH(LARGE(Dashboard!$AI$2:$AI$31,$A26),Dashboard!$AI$2:$AI$31,0),COLUMNS($D26:AE26)))&amp;"/"&amp;INDEX(Management!$B$7:$B$36,COLUMNS($D26:AE26)))</f>
        <v/>
      </c>
      <c r="AF26" s="82" t="str" cm="1">
        <f t="array" ref="AF26">IF(OR($A26="",COLUMNS($D26:AF26)&gt;Management!$C$4),"",N(INDEX(Dashboard!$C$2:$AF$31,MATCH(LARGE(Dashboard!$AI$2:$AI$31,$A26),Dashboard!$AI$2:$AI$31,0),COLUMNS($D26:AF26)))&amp;"/"&amp;INDEX(Management!$B$7:$B$36,COLUMNS($D26:AF26)))</f>
        <v/>
      </c>
      <c r="AG26" s="83" t="str" cm="1">
        <f t="array" ref="AG26">IF(OR($A26="",COLUMNS($D26:AG26)&gt;Management!$C$4),"",N(INDEX(Dashboard!$C$2:$AF$31,MATCH(LARGE(Dashboard!$AI$2:$AI$31,$A26),Dashboard!$AI$2:$AI$31,0),COLUMNS($D26:AG26)))&amp;"/"&amp;INDEX(Management!$B$7:$B$36,COLUMNS($D26:AG26)))</f>
        <v/>
      </c>
    </row>
    <row r="27" spans="1:33" ht="24" customHeight="1" x14ac:dyDescent="0.45">
      <c r="A27" s="84">
        <f>IF(ROWS($A$2:A27)&gt;COUNTA(Management!$F$7:$F$36),"",ROWS($A$2:A27))</f>
        <v>26</v>
      </c>
      <c r="B27" s="96" t="str">
        <f>IF($A27="","",INDEX(Dashboard!$A$2:$A$31,MATCH(LARGE(Dashboard!$AI$2:$AI$31,$A27),Dashboard!$AI$2:$AI$31,0)))</f>
        <v>Stampende Stamppotters</v>
      </c>
      <c r="C27" s="110" t="str">
        <f>IF($A27="","",INDEX(Dashboard!$AG$2:$AG$31,MATCH(LARGE(Dashboard!$AI$2:$AI$31,$A27),Dashboard!$AI$2:$AI$31,0))&amp;" / "&amp;INDEX(Dashboard!$AH$2:$AH$31,MATCH(LARGE(Dashboard!$AI$2:$AI$31,$A27),Dashboard!$AI$2:$AI$31,0)))</f>
        <v>49 / 140</v>
      </c>
      <c r="D27" s="103" t="str" cm="1">
        <f t="array" ref="D27">IF(OR($A27="",COLUMNS($D27:D27)&gt;Management!$C$4),"",N(INDEX(Dashboard!$C$2:$AF$31,MATCH(LARGE(Dashboard!$AI$2:$AI$31,$A27),Dashboard!$AI$2:$AI$31,0),COLUMNS($D27:D27)))&amp;"/"&amp;INDEX(Management!$B$7:$B$36,COLUMNS($D27:D27)))</f>
        <v>7/10</v>
      </c>
      <c r="E27" s="85" t="str" cm="1">
        <f t="array" ref="E27">IF(OR($A27="",COLUMNS($D27:E27)&gt;Management!$C$4),"",N(INDEX(Dashboard!$C$2:$AF$31,MATCH(LARGE(Dashboard!$AI$2:$AI$31,$A27),Dashboard!$AI$2:$AI$31,0),COLUMNS($D27:E27)))&amp;"/"&amp;INDEX(Management!$B$7:$B$36,COLUMNS($D27:E27)))</f>
        <v>3/10</v>
      </c>
      <c r="F27" s="85" t="str" cm="1">
        <f t="array" ref="F27">IF(OR($A27="",COLUMNS($D27:F27)&gt;Management!$C$4),"",N(INDEX(Dashboard!$C$2:$AF$31,MATCH(LARGE(Dashboard!$AI$2:$AI$31,$A27),Dashboard!$AI$2:$AI$31,0),COLUMNS($D27:F27)))&amp;"/"&amp;INDEX(Management!$B$7:$B$36,COLUMNS($D27:F27)))</f>
        <v>7/10</v>
      </c>
      <c r="G27" s="85" t="str" cm="1">
        <f t="array" ref="G27">IF(OR($A27="",COLUMNS($D27:G27)&gt;Management!$C$4),"",N(INDEX(Dashboard!$C$2:$AF$31,MATCH(LARGE(Dashboard!$AI$2:$AI$31,$A27),Dashboard!$AI$2:$AI$31,0),COLUMNS($D27:G27)))&amp;"/"&amp;INDEX(Management!$B$7:$B$36,COLUMNS($D27:G27)))</f>
        <v>12/20</v>
      </c>
      <c r="H27" s="85" t="str" cm="1">
        <f t="array" ref="H27">IF(OR($A27="",COLUMNS($D27:H27)&gt;Management!$C$4),"",N(INDEX(Dashboard!$C$2:$AF$31,MATCH(LARGE(Dashboard!$AI$2:$AI$31,$A27),Dashboard!$AI$2:$AI$31,0),COLUMNS($D27:H27)))&amp;"/"&amp;INDEX(Management!$B$7:$B$36,COLUMNS($D27:H27)))</f>
        <v>9/10</v>
      </c>
      <c r="I27" s="85" t="str" cm="1">
        <f t="array" ref="I27">IF(OR($A27="",COLUMNS($D27:I27)&gt;Management!$C$4),"",N(INDEX(Dashboard!$C$2:$AF$31,MATCH(LARGE(Dashboard!$AI$2:$AI$31,$A27),Dashboard!$AI$2:$AI$31,0),COLUMNS($D27:I27)))&amp;"/"&amp;INDEX(Management!$B$7:$B$36,COLUMNS($D27:I27)))</f>
        <v>3/10</v>
      </c>
      <c r="J27" s="85" t="str" cm="1">
        <f t="array" ref="J27">IF(OR($A27="",COLUMNS($D27:J27)&gt;Management!$C$4),"",N(INDEX(Dashboard!$C$2:$AF$31,MATCH(LARGE(Dashboard!$AI$2:$AI$31,$A27),Dashboard!$AI$2:$AI$31,0),COLUMNS($D27:J27)))&amp;"/"&amp;INDEX(Management!$B$7:$B$36,COLUMNS($D27:J27)))</f>
        <v>1/10</v>
      </c>
      <c r="K27" s="85" t="str" cm="1">
        <f t="array" ref="K27">IF(OR($A27="",COLUMNS($D27:K27)&gt;Management!$C$4),"",N(INDEX(Dashboard!$C$2:$AF$31,MATCH(LARGE(Dashboard!$AI$2:$AI$31,$A27),Dashboard!$AI$2:$AI$31,0),COLUMNS($D27:K27)))&amp;"/"&amp;INDEX(Management!$B$7:$B$36,COLUMNS($D27:K27)))</f>
        <v>3/15</v>
      </c>
      <c r="L27" s="85" t="str" cm="1">
        <f t="array" ref="L27">IF(OR($A27="",COLUMNS($D27:L27)&gt;Management!$C$4),"",N(INDEX(Dashboard!$C$2:$AF$31,MATCH(LARGE(Dashboard!$AI$2:$AI$31,$A27),Dashboard!$AI$2:$AI$31,0),COLUMNS($D27:L27)))&amp;"/"&amp;INDEX(Management!$B$7:$B$36,COLUMNS($D27:L27)))</f>
        <v>1/10</v>
      </c>
      <c r="M27" s="85" t="str" cm="1">
        <f t="array" ref="M27">IF(OR($A27="",COLUMNS($D27:M27)&gt;Management!$C$4),"",N(INDEX(Dashboard!$C$2:$AF$31,MATCH(LARGE(Dashboard!$AI$2:$AI$31,$A27),Dashboard!$AI$2:$AI$31,0),COLUMNS($D27:M27)))&amp;"/"&amp;INDEX(Management!$B$7:$B$36,COLUMNS($D27:M27)))</f>
        <v>1/10</v>
      </c>
      <c r="N27" s="85" t="str" cm="1">
        <f t="array" ref="N27">IF(OR($A27="",COLUMNS($D27:N27)&gt;Management!$C$4),"",N(INDEX(Dashboard!$C$2:$AF$31,MATCH(LARGE(Dashboard!$AI$2:$AI$31,$A27),Dashboard!$AI$2:$AI$31,0),COLUMNS($D27:N27)))&amp;"/"&amp;INDEX(Management!$B$7:$B$36,COLUMNS($D27:N27)))</f>
        <v>0/5</v>
      </c>
      <c r="O27" s="85" t="str" cm="1">
        <f t="array" ref="O27">IF(OR($A27="",COLUMNS($D27:O27)&gt;Management!$C$4),"",N(INDEX(Dashboard!$C$2:$AF$31,MATCH(LARGE(Dashboard!$AI$2:$AI$31,$A27),Dashboard!$AI$2:$AI$31,0),COLUMNS($D27:O27)))&amp;"/"&amp;INDEX(Management!$B$7:$B$36,COLUMNS($D27:O27)))</f>
        <v>1/10</v>
      </c>
      <c r="P27" s="85" t="str" cm="1">
        <f t="array" ref="P27">IF(OR($A27="",COLUMNS($D27:P27)&gt;Management!$C$4),"",N(INDEX(Dashboard!$C$2:$AF$31,MATCH(LARGE(Dashboard!$AI$2:$AI$31,$A27),Dashboard!$AI$2:$AI$31,0),COLUMNS($D27:P27)))&amp;"/"&amp;INDEX(Management!$B$7:$B$36,COLUMNS($D27:P27)))</f>
        <v>1/10</v>
      </c>
      <c r="Q27" s="85" t="str" cm="1">
        <f t="array" ref="Q27">IF(OR($A27="",COLUMNS($D27:Q27)&gt;Management!$C$4),"",N(INDEX(Dashboard!$C$2:$AF$31,MATCH(LARGE(Dashboard!$AI$2:$AI$31,$A27),Dashboard!$AI$2:$AI$31,0),COLUMNS($D27:Q27)))&amp;"/"&amp;INDEX(Management!$B$7:$B$36,COLUMNS($D27:Q27)))</f>
        <v/>
      </c>
      <c r="R27" s="85" t="str" cm="1">
        <f t="array" ref="R27">IF(OR($A27="",COLUMNS($D27:R27)&gt;Management!$C$4),"",N(INDEX(Dashboard!$C$2:$AF$31,MATCH(LARGE(Dashboard!$AI$2:$AI$31,$A27),Dashboard!$AI$2:$AI$31,0),COLUMNS($D27:R27)))&amp;"/"&amp;INDEX(Management!$B$7:$B$36,COLUMNS($D27:R27)))</f>
        <v/>
      </c>
      <c r="S27" s="85" t="str" cm="1">
        <f t="array" ref="S27">IF(OR($A27="",COLUMNS($D27:S27)&gt;Management!$C$4),"",N(INDEX(Dashboard!$C$2:$AF$31,MATCH(LARGE(Dashboard!$AI$2:$AI$31,$A27),Dashboard!$AI$2:$AI$31,0),COLUMNS($D27:S27)))&amp;"/"&amp;INDEX(Management!$B$7:$B$36,COLUMNS($D27:S27)))</f>
        <v/>
      </c>
      <c r="T27" s="85" t="str" cm="1">
        <f t="array" ref="T27">IF(OR($A27="",COLUMNS($D27:T27)&gt;Management!$C$4),"",N(INDEX(Dashboard!$C$2:$AF$31,MATCH(LARGE(Dashboard!$AI$2:$AI$31,$A27),Dashboard!$AI$2:$AI$31,0),COLUMNS($D27:T27)))&amp;"/"&amp;INDEX(Management!$B$7:$B$36,COLUMNS($D27:T27)))</f>
        <v/>
      </c>
      <c r="U27" s="85" t="str" cm="1">
        <f t="array" ref="U27">IF(OR($A27="",COLUMNS($D27:U27)&gt;Management!$C$4),"",N(INDEX(Dashboard!$C$2:$AF$31,MATCH(LARGE(Dashboard!$AI$2:$AI$31,$A27),Dashboard!$AI$2:$AI$31,0),COLUMNS($D27:U27)))&amp;"/"&amp;INDEX(Management!$B$7:$B$36,COLUMNS($D27:U27)))</f>
        <v/>
      </c>
      <c r="V27" s="85" t="str" cm="1">
        <f t="array" ref="V27">IF(OR($A27="",COLUMNS($D27:V27)&gt;Management!$C$4),"",N(INDEX(Dashboard!$C$2:$AF$31,MATCH(LARGE(Dashboard!$AI$2:$AI$31,$A27),Dashboard!$AI$2:$AI$31,0),COLUMNS($D27:V27)))&amp;"/"&amp;INDEX(Management!$B$7:$B$36,COLUMNS($D27:V27)))</f>
        <v/>
      </c>
      <c r="W27" s="85" t="str" cm="1">
        <f t="array" ref="W27">IF(OR($A27="",COLUMNS($D27:W27)&gt;Management!$C$4),"",N(INDEX(Dashboard!$C$2:$AF$31,MATCH(LARGE(Dashboard!$AI$2:$AI$31,$A27),Dashboard!$AI$2:$AI$31,0),COLUMNS($D27:W27)))&amp;"/"&amp;INDEX(Management!$B$7:$B$36,COLUMNS($D27:W27)))</f>
        <v/>
      </c>
      <c r="X27" s="85" t="str" cm="1">
        <f t="array" ref="X27">IF(OR($A27="",COLUMNS($D27:X27)&gt;Management!$C$4),"",N(INDEX(Dashboard!$C$2:$AF$31,MATCH(LARGE(Dashboard!$AI$2:$AI$31,$A27),Dashboard!$AI$2:$AI$31,0),COLUMNS($D27:X27)))&amp;"/"&amp;INDEX(Management!$B$7:$B$36,COLUMNS($D27:X27)))</f>
        <v/>
      </c>
      <c r="Y27" s="85" t="str" cm="1">
        <f t="array" ref="Y27">IF(OR($A27="",COLUMNS($D27:Y27)&gt;Management!$C$4),"",N(INDEX(Dashboard!$C$2:$AF$31,MATCH(LARGE(Dashboard!$AI$2:$AI$31,$A27),Dashboard!$AI$2:$AI$31,0),COLUMNS($D27:Y27)))&amp;"/"&amp;INDEX(Management!$B$7:$B$36,COLUMNS($D27:Y27)))</f>
        <v/>
      </c>
      <c r="Z27" s="85" t="str" cm="1">
        <f t="array" ref="Z27">IF(OR($A27="",COLUMNS($D27:Z27)&gt;Management!$C$4),"",N(INDEX(Dashboard!$C$2:$AF$31,MATCH(LARGE(Dashboard!$AI$2:$AI$31,$A27),Dashboard!$AI$2:$AI$31,0),COLUMNS($D27:Z27)))&amp;"/"&amp;INDEX(Management!$B$7:$B$36,COLUMNS($D27:Z27)))</f>
        <v/>
      </c>
      <c r="AA27" s="85" t="str" cm="1">
        <f t="array" ref="AA27">IF(OR($A27="",COLUMNS($D27:AA27)&gt;Management!$C$4),"",N(INDEX(Dashboard!$C$2:$AF$31,MATCH(LARGE(Dashboard!$AI$2:$AI$31,$A27),Dashboard!$AI$2:$AI$31,0),COLUMNS($D27:AA27)))&amp;"/"&amp;INDEX(Management!$B$7:$B$36,COLUMNS($D27:AA27)))</f>
        <v/>
      </c>
      <c r="AB27" s="85" t="str" cm="1">
        <f t="array" ref="AB27">IF(OR($A27="",COLUMNS($D27:AB27)&gt;Management!$C$4),"",N(INDEX(Dashboard!$C$2:$AF$31,MATCH(LARGE(Dashboard!$AI$2:$AI$31,$A27),Dashboard!$AI$2:$AI$31,0),COLUMNS($D27:AB27)))&amp;"/"&amp;INDEX(Management!$B$7:$B$36,COLUMNS($D27:AB27)))</f>
        <v/>
      </c>
      <c r="AC27" s="85" t="str" cm="1">
        <f t="array" ref="AC27">IF(OR($A27="",COLUMNS($D27:AC27)&gt;Management!$C$4),"",N(INDEX(Dashboard!$C$2:$AF$31,MATCH(LARGE(Dashboard!$AI$2:$AI$31,$A27),Dashboard!$AI$2:$AI$31,0),COLUMNS($D27:AC27)))&amp;"/"&amp;INDEX(Management!$B$7:$B$36,COLUMNS($D27:AC27)))</f>
        <v/>
      </c>
      <c r="AD27" s="85" t="str" cm="1">
        <f t="array" ref="AD27">IF(OR($A27="",COLUMNS($D27:AD27)&gt;Management!$C$4),"",N(INDEX(Dashboard!$C$2:$AF$31,MATCH(LARGE(Dashboard!$AI$2:$AI$31,$A27),Dashboard!$AI$2:$AI$31,0),COLUMNS($D27:AD27)))&amp;"/"&amp;INDEX(Management!$B$7:$B$36,COLUMNS($D27:AD27)))</f>
        <v/>
      </c>
      <c r="AE27" s="85" t="str" cm="1">
        <f t="array" ref="AE27">IF(OR($A27="",COLUMNS($D27:AE27)&gt;Management!$C$4),"",N(INDEX(Dashboard!$C$2:$AF$31,MATCH(LARGE(Dashboard!$AI$2:$AI$31,$A27),Dashboard!$AI$2:$AI$31,0),COLUMNS($D27:AE27)))&amp;"/"&amp;INDEX(Management!$B$7:$B$36,COLUMNS($D27:AE27)))</f>
        <v/>
      </c>
      <c r="AF27" s="85" t="str" cm="1">
        <f t="array" ref="AF27">IF(OR($A27="",COLUMNS($D27:AF27)&gt;Management!$C$4),"",N(INDEX(Dashboard!$C$2:$AF$31,MATCH(LARGE(Dashboard!$AI$2:$AI$31,$A27),Dashboard!$AI$2:$AI$31,0),COLUMNS($D27:AF27)))&amp;"/"&amp;INDEX(Management!$B$7:$B$36,COLUMNS($D27:AF27)))</f>
        <v/>
      </c>
      <c r="AG27" s="86" t="str" cm="1">
        <f t="array" ref="AG27">IF(OR($A27="",COLUMNS($D27:AG27)&gt;Management!$C$4),"",N(INDEX(Dashboard!$C$2:$AF$31,MATCH(LARGE(Dashboard!$AI$2:$AI$31,$A27),Dashboard!$AI$2:$AI$31,0),COLUMNS($D27:AG27)))&amp;"/"&amp;INDEX(Management!$B$7:$B$36,COLUMNS($D27:AG27)))</f>
        <v/>
      </c>
    </row>
    <row r="28" spans="1:33" ht="24" customHeight="1" x14ac:dyDescent="0.45">
      <c r="A28" s="81">
        <f>IF(ROWS($A$2:A28)&gt;COUNTA(Management!$F$7:$F$36),"",ROWS($A$2:A28))</f>
        <v>27</v>
      </c>
      <c r="B28" s="95" t="str">
        <f>IF($A28="","",INDEX(Dashboard!$A$2:$A$31,MATCH(LARGE(Dashboard!$AI$2:$AI$31,$A28),Dashboard!$AI$2:$AI$31,0)))</f>
        <v>Team26</v>
      </c>
      <c r="C28" s="110" t="str">
        <f>IF($A28="","",INDEX(Dashboard!$AG$2:$AG$31,MATCH(LARGE(Dashboard!$AI$2:$AI$31,$A28),Dashboard!$AI$2:$AI$31,0))&amp;" / "&amp;INDEX(Dashboard!$AH$2:$AH$31,MATCH(LARGE(Dashboard!$AI$2:$AI$31,$A28),Dashboard!$AI$2:$AI$31,0)))</f>
        <v>49 / 140</v>
      </c>
      <c r="D28" s="102" t="str" cm="1">
        <f t="array" ref="D28">IF(OR($A28="",COLUMNS($D28:D28)&gt;Management!$C$4),"",N(INDEX(Dashboard!$C$2:$AF$31,MATCH(LARGE(Dashboard!$AI$2:$AI$31,$A28),Dashboard!$AI$2:$AI$31,0),COLUMNS($D28:D28)))&amp;"/"&amp;INDEX(Management!$B$7:$B$36,COLUMNS($D28:D28)))</f>
        <v>7/10</v>
      </c>
      <c r="E28" s="82" t="str" cm="1">
        <f t="array" ref="E28">IF(OR($A28="",COLUMNS($D28:E28)&gt;Management!$C$4),"",N(INDEX(Dashboard!$C$2:$AF$31,MATCH(LARGE(Dashboard!$AI$2:$AI$31,$A28),Dashboard!$AI$2:$AI$31,0),COLUMNS($D28:E28)))&amp;"/"&amp;INDEX(Management!$B$7:$B$36,COLUMNS($D28:E28)))</f>
        <v>3/10</v>
      </c>
      <c r="F28" s="82" t="str" cm="1">
        <f t="array" ref="F28">IF(OR($A28="",COLUMNS($D28:F28)&gt;Management!$C$4),"",N(INDEX(Dashboard!$C$2:$AF$31,MATCH(LARGE(Dashboard!$AI$2:$AI$31,$A28),Dashboard!$AI$2:$AI$31,0),COLUMNS($D28:F28)))&amp;"/"&amp;INDEX(Management!$B$7:$B$36,COLUMNS($D28:F28)))</f>
        <v>7/10</v>
      </c>
      <c r="G28" s="82" t="str" cm="1">
        <f t="array" ref="G28">IF(OR($A28="",COLUMNS($D28:G28)&gt;Management!$C$4),"",N(INDEX(Dashboard!$C$2:$AF$31,MATCH(LARGE(Dashboard!$AI$2:$AI$31,$A28),Dashboard!$AI$2:$AI$31,0),COLUMNS($D28:G28)))&amp;"/"&amp;INDEX(Management!$B$7:$B$36,COLUMNS($D28:G28)))</f>
        <v>12/20</v>
      </c>
      <c r="H28" s="82" t="str" cm="1">
        <f t="array" ref="H28">IF(OR($A28="",COLUMNS($D28:H28)&gt;Management!$C$4),"",N(INDEX(Dashboard!$C$2:$AF$31,MATCH(LARGE(Dashboard!$AI$2:$AI$31,$A28),Dashboard!$AI$2:$AI$31,0),COLUMNS($D28:H28)))&amp;"/"&amp;INDEX(Management!$B$7:$B$36,COLUMNS($D28:H28)))</f>
        <v>9/10</v>
      </c>
      <c r="I28" s="82" t="str" cm="1">
        <f t="array" ref="I28">IF(OR($A28="",COLUMNS($D28:I28)&gt;Management!$C$4),"",N(INDEX(Dashboard!$C$2:$AF$31,MATCH(LARGE(Dashboard!$AI$2:$AI$31,$A28),Dashboard!$AI$2:$AI$31,0),COLUMNS($D28:I28)))&amp;"/"&amp;INDEX(Management!$B$7:$B$36,COLUMNS($D28:I28)))</f>
        <v>3/10</v>
      </c>
      <c r="J28" s="82" t="str" cm="1">
        <f t="array" ref="J28">IF(OR($A28="",COLUMNS($D28:J28)&gt;Management!$C$4),"",N(INDEX(Dashboard!$C$2:$AF$31,MATCH(LARGE(Dashboard!$AI$2:$AI$31,$A28),Dashboard!$AI$2:$AI$31,0),COLUMNS($D28:J28)))&amp;"/"&amp;INDEX(Management!$B$7:$B$36,COLUMNS($D28:J28)))</f>
        <v>1/10</v>
      </c>
      <c r="K28" s="82" t="str" cm="1">
        <f t="array" ref="K28">IF(OR($A28="",COLUMNS($D28:K28)&gt;Management!$C$4),"",N(INDEX(Dashboard!$C$2:$AF$31,MATCH(LARGE(Dashboard!$AI$2:$AI$31,$A28),Dashboard!$AI$2:$AI$31,0),COLUMNS($D28:K28)))&amp;"/"&amp;INDEX(Management!$B$7:$B$36,COLUMNS($D28:K28)))</f>
        <v>3/15</v>
      </c>
      <c r="L28" s="82" t="str" cm="1">
        <f t="array" ref="L28">IF(OR($A28="",COLUMNS($D28:L28)&gt;Management!$C$4),"",N(INDEX(Dashboard!$C$2:$AF$31,MATCH(LARGE(Dashboard!$AI$2:$AI$31,$A28),Dashboard!$AI$2:$AI$31,0),COLUMNS($D28:L28)))&amp;"/"&amp;INDEX(Management!$B$7:$B$36,COLUMNS($D28:L28)))</f>
        <v>1/10</v>
      </c>
      <c r="M28" s="82" t="str" cm="1">
        <f t="array" ref="M28">IF(OR($A28="",COLUMNS($D28:M28)&gt;Management!$C$4),"",N(INDEX(Dashboard!$C$2:$AF$31,MATCH(LARGE(Dashboard!$AI$2:$AI$31,$A28),Dashboard!$AI$2:$AI$31,0),COLUMNS($D28:M28)))&amp;"/"&amp;INDEX(Management!$B$7:$B$36,COLUMNS($D28:M28)))</f>
        <v>1/10</v>
      </c>
      <c r="N28" s="82" t="str" cm="1">
        <f t="array" ref="N28">IF(OR($A28="",COLUMNS($D28:N28)&gt;Management!$C$4),"",N(INDEX(Dashboard!$C$2:$AF$31,MATCH(LARGE(Dashboard!$AI$2:$AI$31,$A28),Dashboard!$AI$2:$AI$31,0),COLUMNS($D28:N28)))&amp;"/"&amp;INDEX(Management!$B$7:$B$36,COLUMNS($D28:N28)))</f>
        <v>0/5</v>
      </c>
      <c r="O28" s="82" t="str" cm="1">
        <f t="array" ref="O28">IF(OR($A28="",COLUMNS($D28:O28)&gt;Management!$C$4),"",N(INDEX(Dashboard!$C$2:$AF$31,MATCH(LARGE(Dashboard!$AI$2:$AI$31,$A28),Dashboard!$AI$2:$AI$31,0),COLUMNS($D28:O28)))&amp;"/"&amp;INDEX(Management!$B$7:$B$36,COLUMNS($D28:O28)))</f>
        <v>1/10</v>
      </c>
      <c r="P28" s="82" t="str" cm="1">
        <f t="array" ref="P28">IF(OR($A28="",COLUMNS($D28:P28)&gt;Management!$C$4),"",N(INDEX(Dashboard!$C$2:$AF$31,MATCH(LARGE(Dashboard!$AI$2:$AI$31,$A28),Dashboard!$AI$2:$AI$31,0),COLUMNS($D28:P28)))&amp;"/"&amp;INDEX(Management!$B$7:$B$36,COLUMNS($D28:P28)))</f>
        <v>1/10</v>
      </c>
      <c r="Q28" s="82" t="str" cm="1">
        <f t="array" ref="Q28">IF(OR($A28="",COLUMNS($D28:Q28)&gt;Management!$C$4),"",N(INDEX(Dashboard!$C$2:$AF$31,MATCH(LARGE(Dashboard!$AI$2:$AI$31,$A28),Dashboard!$AI$2:$AI$31,0),COLUMNS($D28:Q28)))&amp;"/"&amp;INDEX(Management!$B$7:$B$36,COLUMNS($D28:Q28)))</f>
        <v/>
      </c>
      <c r="R28" s="82" t="str" cm="1">
        <f t="array" ref="R28">IF(OR($A28="",COLUMNS($D28:R28)&gt;Management!$C$4),"",N(INDEX(Dashboard!$C$2:$AF$31,MATCH(LARGE(Dashboard!$AI$2:$AI$31,$A28),Dashboard!$AI$2:$AI$31,0),COLUMNS($D28:R28)))&amp;"/"&amp;INDEX(Management!$B$7:$B$36,COLUMNS($D28:R28)))</f>
        <v/>
      </c>
      <c r="S28" s="82" t="str" cm="1">
        <f t="array" ref="S28">IF(OR($A28="",COLUMNS($D28:S28)&gt;Management!$C$4),"",N(INDEX(Dashboard!$C$2:$AF$31,MATCH(LARGE(Dashboard!$AI$2:$AI$31,$A28),Dashboard!$AI$2:$AI$31,0),COLUMNS($D28:S28)))&amp;"/"&amp;INDEX(Management!$B$7:$B$36,COLUMNS($D28:S28)))</f>
        <v/>
      </c>
      <c r="T28" s="82" t="str" cm="1">
        <f t="array" ref="T28">IF(OR($A28="",COLUMNS($D28:T28)&gt;Management!$C$4),"",N(INDEX(Dashboard!$C$2:$AF$31,MATCH(LARGE(Dashboard!$AI$2:$AI$31,$A28),Dashboard!$AI$2:$AI$31,0),COLUMNS($D28:T28)))&amp;"/"&amp;INDEX(Management!$B$7:$B$36,COLUMNS($D28:T28)))</f>
        <v/>
      </c>
      <c r="U28" s="82" t="str" cm="1">
        <f t="array" ref="U28">IF(OR($A28="",COLUMNS($D28:U28)&gt;Management!$C$4),"",N(INDEX(Dashboard!$C$2:$AF$31,MATCH(LARGE(Dashboard!$AI$2:$AI$31,$A28),Dashboard!$AI$2:$AI$31,0),COLUMNS($D28:U28)))&amp;"/"&amp;INDEX(Management!$B$7:$B$36,COLUMNS($D28:U28)))</f>
        <v/>
      </c>
      <c r="V28" s="82" t="str" cm="1">
        <f t="array" ref="V28">IF(OR($A28="",COLUMNS($D28:V28)&gt;Management!$C$4),"",N(INDEX(Dashboard!$C$2:$AF$31,MATCH(LARGE(Dashboard!$AI$2:$AI$31,$A28),Dashboard!$AI$2:$AI$31,0),COLUMNS($D28:V28)))&amp;"/"&amp;INDEX(Management!$B$7:$B$36,COLUMNS($D28:V28)))</f>
        <v/>
      </c>
      <c r="W28" s="82" t="str" cm="1">
        <f t="array" ref="W28">IF(OR($A28="",COLUMNS($D28:W28)&gt;Management!$C$4),"",N(INDEX(Dashboard!$C$2:$AF$31,MATCH(LARGE(Dashboard!$AI$2:$AI$31,$A28),Dashboard!$AI$2:$AI$31,0),COLUMNS($D28:W28)))&amp;"/"&amp;INDEX(Management!$B$7:$B$36,COLUMNS($D28:W28)))</f>
        <v/>
      </c>
      <c r="X28" s="82" t="str" cm="1">
        <f t="array" ref="X28">IF(OR($A28="",COLUMNS($D28:X28)&gt;Management!$C$4),"",N(INDEX(Dashboard!$C$2:$AF$31,MATCH(LARGE(Dashboard!$AI$2:$AI$31,$A28),Dashboard!$AI$2:$AI$31,0),COLUMNS($D28:X28)))&amp;"/"&amp;INDEX(Management!$B$7:$B$36,COLUMNS($D28:X28)))</f>
        <v/>
      </c>
      <c r="Y28" s="82" t="str" cm="1">
        <f t="array" ref="Y28">IF(OR($A28="",COLUMNS($D28:Y28)&gt;Management!$C$4),"",N(INDEX(Dashboard!$C$2:$AF$31,MATCH(LARGE(Dashboard!$AI$2:$AI$31,$A28),Dashboard!$AI$2:$AI$31,0),COLUMNS($D28:Y28)))&amp;"/"&amp;INDEX(Management!$B$7:$B$36,COLUMNS($D28:Y28)))</f>
        <v/>
      </c>
      <c r="Z28" s="82" t="str" cm="1">
        <f t="array" ref="Z28">IF(OR($A28="",COLUMNS($D28:Z28)&gt;Management!$C$4),"",N(INDEX(Dashboard!$C$2:$AF$31,MATCH(LARGE(Dashboard!$AI$2:$AI$31,$A28),Dashboard!$AI$2:$AI$31,0),COLUMNS($D28:Z28)))&amp;"/"&amp;INDEX(Management!$B$7:$B$36,COLUMNS($D28:Z28)))</f>
        <v/>
      </c>
      <c r="AA28" s="82" t="str" cm="1">
        <f t="array" ref="AA28">IF(OR($A28="",COLUMNS($D28:AA28)&gt;Management!$C$4),"",N(INDEX(Dashboard!$C$2:$AF$31,MATCH(LARGE(Dashboard!$AI$2:$AI$31,$A28),Dashboard!$AI$2:$AI$31,0),COLUMNS($D28:AA28)))&amp;"/"&amp;INDEX(Management!$B$7:$B$36,COLUMNS($D28:AA28)))</f>
        <v/>
      </c>
      <c r="AB28" s="82" t="str" cm="1">
        <f t="array" ref="AB28">IF(OR($A28="",COLUMNS($D28:AB28)&gt;Management!$C$4),"",N(INDEX(Dashboard!$C$2:$AF$31,MATCH(LARGE(Dashboard!$AI$2:$AI$31,$A28),Dashboard!$AI$2:$AI$31,0),COLUMNS($D28:AB28)))&amp;"/"&amp;INDEX(Management!$B$7:$B$36,COLUMNS($D28:AB28)))</f>
        <v/>
      </c>
      <c r="AC28" s="82" t="str" cm="1">
        <f t="array" ref="AC28">IF(OR($A28="",COLUMNS($D28:AC28)&gt;Management!$C$4),"",N(INDEX(Dashboard!$C$2:$AF$31,MATCH(LARGE(Dashboard!$AI$2:$AI$31,$A28),Dashboard!$AI$2:$AI$31,0),COLUMNS($D28:AC28)))&amp;"/"&amp;INDEX(Management!$B$7:$B$36,COLUMNS($D28:AC28)))</f>
        <v/>
      </c>
      <c r="AD28" s="82" t="str" cm="1">
        <f t="array" ref="AD28">IF(OR($A28="",COLUMNS($D28:AD28)&gt;Management!$C$4),"",N(INDEX(Dashboard!$C$2:$AF$31,MATCH(LARGE(Dashboard!$AI$2:$AI$31,$A28),Dashboard!$AI$2:$AI$31,0),COLUMNS($D28:AD28)))&amp;"/"&amp;INDEX(Management!$B$7:$B$36,COLUMNS($D28:AD28)))</f>
        <v/>
      </c>
      <c r="AE28" s="82" t="str" cm="1">
        <f t="array" ref="AE28">IF(OR($A28="",COLUMNS($D28:AE28)&gt;Management!$C$4),"",N(INDEX(Dashboard!$C$2:$AF$31,MATCH(LARGE(Dashboard!$AI$2:$AI$31,$A28),Dashboard!$AI$2:$AI$31,0),COLUMNS($D28:AE28)))&amp;"/"&amp;INDEX(Management!$B$7:$B$36,COLUMNS($D28:AE28)))</f>
        <v/>
      </c>
      <c r="AF28" s="82" t="str" cm="1">
        <f t="array" ref="AF28">IF(OR($A28="",COLUMNS($D28:AF28)&gt;Management!$C$4),"",N(INDEX(Dashboard!$C$2:$AF$31,MATCH(LARGE(Dashboard!$AI$2:$AI$31,$A28),Dashboard!$AI$2:$AI$31,0),COLUMNS($D28:AF28)))&amp;"/"&amp;INDEX(Management!$B$7:$B$36,COLUMNS($D28:AF28)))</f>
        <v/>
      </c>
      <c r="AG28" s="83" t="str" cm="1">
        <f t="array" ref="AG28">IF(OR($A28="",COLUMNS($D28:AG28)&gt;Management!$C$4),"",N(INDEX(Dashboard!$C$2:$AF$31,MATCH(LARGE(Dashboard!$AI$2:$AI$31,$A28),Dashboard!$AI$2:$AI$31,0),COLUMNS($D28:AG28)))&amp;"/"&amp;INDEX(Management!$B$7:$B$36,COLUMNS($D28:AG28)))</f>
        <v/>
      </c>
    </row>
    <row r="29" spans="1:33" ht="24" customHeight="1" x14ac:dyDescent="0.45">
      <c r="A29" s="84">
        <f>IF(ROWS($A$2:A29)&gt;COUNTA(Management!$F$7:$F$36),"",ROWS($A$2:A29))</f>
        <v>28</v>
      </c>
      <c r="B29" s="96" t="str">
        <f>IF($A29="","",INDEX(Dashboard!$A$2:$A$31,MATCH(LARGE(Dashboard!$AI$2:$AI$31,$A29),Dashboard!$AI$2:$AI$31,0)))</f>
        <v>Team34</v>
      </c>
      <c r="C29" s="110" t="str">
        <f>IF($A29="","",INDEX(Dashboard!$AG$2:$AG$31,MATCH(LARGE(Dashboard!$AI$2:$AI$31,$A29),Dashboard!$AI$2:$AI$31,0))&amp;" / "&amp;INDEX(Dashboard!$AH$2:$AH$31,MATCH(LARGE(Dashboard!$AI$2:$AI$31,$A29),Dashboard!$AI$2:$AI$31,0)))</f>
        <v>49 / 140</v>
      </c>
      <c r="D29" s="103" t="str" cm="1">
        <f t="array" ref="D29">IF(OR($A29="",COLUMNS($D29:D29)&gt;Management!$C$4),"",N(INDEX(Dashboard!$C$2:$AF$31,MATCH(LARGE(Dashboard!$AI$2:$AI$31,$A29),Dashboard!$AI$2:$AI$31,0),COLUMNS($D29:D29)))&amp;"/"&amp;INDEX(Management!$B$7:$B$36,COLUMNS($D29:D29)))</f>
        <v>7/10</v>
      </c>
      <c r="E29" s="85" t="str" cm="1">
        <f t="array" ref="E29">IF(OR($A29="",COLUMNS($D29:E29)&gt;Management!$C$4),"",N(INDEX(Dashboard!$C$2:$AF$31,MATCH(LARGE(Dashboard!$AI$2:$AI$31,$A29),Dashboard!$AI$2:$AI$31,0),COLUMNS($D29:E29)))&amp;"/"&amp;INDEX(Management!$B$7:$B$36,COLUMNS($D29:E29)))</f>
        <v>3/10</v>
      </c>
      <c r="F29" s="85" t="str" cm="1">
        <f t="array" ref="F29">IF(OR($A29="",COLUMNS($D29:F29)&gt;Management!$C$4),"",N(INDEX(Dashboard!$C$2:$AF$31,MATCH(LARGE(Dashboard!$AI$2:$AI$31,$A29),Dashboard!$AI$2:$AI$31,0),COLUMNS($D29:F29)))&amp;"/"&amp;INDEX(Management!$B$7:$B$36,COLUMNS($D29:F29)))</f>
        <v>7/10</v>
      </c>
      <c r="G29" s="85" t="str" cm="1">
        <f t="array" ref="G29">IF(OR($A29="",COLUMNS($D29:G29)&gt;Management!$C$4),"",N(INDEX(Dashboard!$C$2:$AF$31,MATCH(LARGE(Dashboard!$AI$2:$AI$31,$A29),Dashboard!$AI$2:$AI$31,0),COLUMNS($D29:G29)))&amp;"/"&amp;INDEX(Management!$B$7:$B$36,COLUMNS($D29:G29)))</f>
        <v>12/20</v>
      </c>
      <c r="H29" s="85" t="str" cm="1">
        <f t="array" ref="H29">IF(OR($A29="",COLUMNS($D29:H29)&gt;Management!$C$4),"",N(INDEX(Dashboard!$C$2:$AF$31,MATCH(LARGE(Dashboard!$AI$2:$AI$31,$A29),Dashboard!$AI$2:$AI$31,0),COLUMNS($D29:H29)))&amp;"/"&amp;INDEX(Management!$B$7:$B$36,COLUMNS($D29:H29)))</f>
        <v>9/10</v>
      </c>
      <c r="I29" s="85" t="str" cm="1">
        <f t="array" ref="I29">IF(OR($A29="",COLUMNS($D29:I29)&gt;Management!$C$4),"",N(INDEX(Dashboard!$C$2:$AF$31,MATCH(LARGE(Dashboard!$AI$2:$AI$31,$A29),Dashboard!$AI$2:$AI$31,0),COLUMNS($D29:I29)))&amp;"/"&amp;INDEX(Management!$B$7:$B$36,COLUMNS($D29:I29)))</f>
        <v>3/10</v>
      </c>
      <c r="J29" s="85" t="str" cm="1">
        <f t="array" ref="J29">IF(OR($A29="",COLUMNS($D29:J29)&gt;Management!$C$4),"",N(INDEX(Dashboard!$C$2:$AF$31,MATCH(LARGE(Dashboard!$AI$2:$AI$31,$A29),Dashboard!$AI$2:$AI$31,0),COLUMNS($D29:J29)))&amp;"/"&amp;INDEX(Management!$B$7:$B$36,COLUMNS($D29:J29)))</f>
        <v>1/10</v>
      </c>
      <c r="K29" s="85" t="str" cm="1">
        <f t="array" ref="K29">IF(OR($A29="",COLUMNS($D29:K29)&gt;Management!$C$4),"",N(INDEX(Dashboard!$C$2:$AF$31,MATCH(LARGE(Dashboard!$AI$2:$AI$31,$A29),Dashboard!$AI$2:$AI$31,0),COLUMNS($D29:K29)))&amp;"/"&amp;INDEX(Management!$B$7:$B$36,COLUMNS($D29:K29)))</f>
        <v>3/15</v>
      </c>
      <c r="L29" s="85" t="str" cm="1">
        <f t="array" ref="L29">IF(OR($A29="",COLUMNS($D29:L29)&gt;Management!$C$4),"",N(INDEX(Dashboard!$C$2:$AF$31,MATCH(LARGE(Dashboard!$AI$2:$AI$31,$A29),Dashboard!$AI$2:$AI$31,0),COLUMNS($D29:L29)))&amp;"/"&amp;INDEX(Management!$B$7:$B$36,COLUMNS($D29:L29)))</f>
        <v>1/10</v>
      </c>
      <c r="M29" s="85" t="str" cm="1">
        <f t="array" ref="M29">IF(OR($A29="",COLUMNS($D29:M29)&gt;Management!$C$4),"",N(INDEX(Dashboard!$C$2:$AF$31,MATCH(LARGE(Dashboard!$AI$2:$AI$31,$A29),Dashboard!$AI$2:$AI$31,0),COLUMNS($D29:M29)))&amp;"/"&amp;INDEX(Management!$B$7:$B$36,COLUMNS($D29:M29)))</f>
        <v>1/10</v>
      </c>
      <c r="N29" s="85" t="str" cm="1">
        <f t="array" ref="N29">IF(OR($A29="",COLUMNS($D29:N29)&gt;Management!$C$4),"",N(INDEX(Dashboard!$C$2:$AF$31,MATCH(LARGE(Dashboard!$AI$2:$AI$31,$A29),Dashboard!$AI$2:$AI$31,0),COLUMNS($D29:N29)))&amp;"/"&amp;INDEX(Management!$B$7:$B$36,COLUMNS($D29:N29)))</f>
        <v>0/5</v>
      </c>
      <c r="O29" s="85" t="str" cm="1">
        <f t="array" ref="O29">IF(OR($A29="",COLUMNS($D29:O29)&gt;Management!$C$4),"",N(INDEX(Dashboard!$C$2:$AF$31,MATCH(LARGE(Dashboard!$AI$2:$AI$31,$A29),Dashboard!$AI$2:$AI$31,0),COLUMNS($D29:O29)))&amp;"/"&amp;INDEX(Management!$B$7:$B$36,COLUMNS($D29:O29)))</f>
        <v>1/10</v>
      </c>
      <c r="P29" s="85" t="str" cm="1">
        <f t="array" ref="P29">IF(OR($A29="",COLUMNS($D29:P29)&gt;Management!$C$4),"",N(INDEX(Dashboard!$C$2:$AF$31,MATCH(LARGE(Dashboard!$AI$2:$AI$31,$A29),Dashboard!$AI$2:$AI$31,0),COLUMNS($D29:P29)))&amp;"/"&amp;INDEX(Management!$B$7:$B$36,COLUMNS($D29:P29)))</f>
        <v>1/10</v>
      </c>
      <c r="Q29" s="85" t="str" cm="1">
        <f t="array" ref="Q29">IF(OR($A29="",COLUMNS($D29:Q29)&gt;Management!$C$4),"",N(INDEX(Dashboard!$C$2:$AF$31,MATCH(LARGE(Dashboard!$AI$2:$AI$31,$A29),Dashboard!$AI$2:$AI$31,0),COLUMNS($D29:Q29)))&amp;"/"&amp;INDEX(Management!$B$7:$B$36,COLUMNS($D29:Q29)))</f>
        <v/>
      </c>
      <c r="R29" s="85" t="str" cm="1">
        <f t="array" ref="R29">IF(OR($A29="",COLUMNS($D29:R29)&gt;Management!$C$4),"",N(INDEX(Dashboard!$C$2:$AF$31,MATCH(LARGE(Dashboard!$AI$2:$AI$31,$A29),Dashboard!$AI$2:$AI$31,0),COLUMNS($D29:R29)))&amp;"/"&amp;INDEX(Management!$B$7:$B$36,COLUMNS($D29:R29)))</f>
        <v/>
      </c>
      <c r="S29" s="85" t="str" cm="1">
        <f t="array" ref="S29">IF(OR($A29="",COLUMNS($D29:S29)&gt;Management!$C$4),"",N(INDEX(Dashboard!$C$2:$AF$31,MATCH(LARGE(Dashboard!$AI$2:$AI$31,$A29),Dashboard!$AI$2:$AI$31,0),COLUMNS($D29:S29)))&amp;"/"&amp;INDEX(Management!$B$7:$B$36,COLUMNS($D29:S29)))</f>
        <v/>
      </c>
      <c r="T29" s="85" t="str" cm="1">
        <f t="array" ref="T29">IF(OR($A29="",COLUMNS($D29:T29)&gt;Management!$C$4),"",N(INDEX(Dashboard!$C$2:$AF$31,MATCH(LARGE(Dashboard!$AI$2:$AI$31,$A29),Dashboard!$AI$2:$AI$31,0),COLUMNS($D29:T29)))&amp;"/"&amp;INDEX(Management!$B$7:$B$36,COLUMNS($D29:T29)))</f>
        <v/>
      </c>
      <c r="U29" s="85" t="str" cm="1">
        <f t="array" ref="U29">IF(OR($A29="",COLUMNS($D29:U29)&gt;Management!$C$4),"",N(INDEX(Dashboard!$C$2:$AF$31,MATCH(LARGE(Dashboard!$AI$2:$AI$31,$A29),Dashboard!$AI$2:$AI$31,0),COLUMNS($D29:U29)))&amp;"/"&amp;INDEX(Management!$B$7:$B$36,COLUMNS($D29:U29)))</f>
        <v/>
      </c>
      <c r="V29" s="85" t="str" cm="1">
        <f t="array" ref="V29">IF(OR($A29="",COLUMNS($D29:V29)&gt;Management!$C$4),"",N(INDEX(Dashboard!$C$2:$AF$31,MATCH(LARGE(Dashboard!$AI$2:$AI$31,$A29),Dashboard!$AI$2:$AI$31,0),COLUMNS($D29:V29)))&amp;"/"&amp;INDEX(Management!$B$7:$B$36,COLUMNS($D29:V29)))</f>
        <v/>
      </c>
      <c r="W29" s="85" t="str" cm="1">
        <f t="array" ref="W29">IF(OR($A29="",COLUMNS($D29:W29)&gt;Management!$C$4),"",N(INDEX(Dashboard!$C$2:$AF$31,MATCH(LARGE(Dashboard!$AI$2:$AI$31,$A29),Dashboard!$AI$2:$AI$31,0),COLUMNS($D29:W29)))&amp;"/"&amp;INDEX(Management!$B$7:$B$36,COLUMNS($D29:W29)))</f>
        <v/>
      </c>
      <c r="X29" s="85" t="str" cm="1">
        <f t="array" ref="X29">IF(OR($A29="",COLUMNS($D29:X29)&gt;Management!$C$4),"",N(INDEX(Dashboard!$C$2:$AF$31,MATCH(LARGE(Dashboard!$AI$2:$AI$31,$A29),Dashboard!$AI$2:$AI$31,0),COLUMNS($D29:X29)))&amp;"/"&amp;INDEX(Management!$B$7:$B$36,COLUMNS($D29:X29)))</f>
        <v/>
      </c>
      <c r="Y29" s="85" t="str" cm="1">
        <f t="array" ref="Y29">IF(OR($A29="",COLUMNS($D29:Y29)&gt;Management!$C$4),"",N(INDEX(Dashboard!$C$2:$AF$31,MATCH(LARGE(Dashboard!$AI$2:$AI$31,$A29),Dashboard!$AI$2:$AI$31,0),COLUMNS($D29:Y29)))&amp;"/"&amp;INDEX(Management!$B$7:$B$36,COLUMNS($D29:Y29)))</f>
        <v/>
      </c>
      <c r="Z29" s="85" t="str" cm="1">
        <f t="array" ref="Z29">IF(OR($A29="",COLUMNS($D29:Z29)&gt;Management!$C$4),"",N(INDEX(Dashboard!$C$2:$AF$31,MATCH(LARGE(Dashboard!$AI$2:$AI$31,$A29),Dashboard!$AI$2:$AI$31,0),COLUMNS($D29:Z29)))&amp;"/"&amp;INDEX(Management!$B$7:$B$36,COLUMNS($D29:Z29)))</f>
        <v/>
      </c>
      <c r="AA29" s="85" t="str" cm="1">
        <f t="array" ref="AA29">IF(OR($A29="",COLUMNS($D29:AA29)&gt;Management!$C$4),"",N(INDEX(Dashboard!$C$2:$AF$31,MATCH(LARGE(Dashboard!$AI$2:$AI$31,$A29),Dashboard!$AI$2:$AI$31,0),COLUMNS($D29:AA29)))&amp;"/"&amp;INDEX(Management!$B$7:$B$36,COLUMNS($D29:AA29)))</f>
        <v/>
      </c>
      <c r="AB29" s="85" t="str" cm="1">
        <f t="array" ref="AB29">IF(OR($A29="",COLUMNS($D29:AB29)&gt;Management!$C$4),"",N(INDEX(Dashboard!$C$2:$AF$31,MATCH(LARGE(Dashboard!$AI$2:$AI$31,$A29),Dashboard!$AI$2:$AI$31,0),COLUMNS($D29:AB29)))&amp;"/"&amp;INDEX(Management!$B$7:$B$36,COLUMNS($D29:AB29)))</f>
        <v/>
      </c>
      <c r="AC29" s="85" t="str" cm="1">
        <f t="array" ref="AC29">IF(OR($A29="",COLUMNS($D29:AC29)&gt;Management!$C$4),"",N(INDEX(Dashboard!$C$2:$AF$31,MATCH(LARGE(Dashboard!$AI$2:$AI$31,$A29),Dashboard!$AI$2:$AI$31,0),COLUMNS($D29:AC29)))&amp;"/"&amp;INDEX(Management!$B$7:$B$36,COLUMNS($D29:AC29)))</f>
        <v/>
      </c>
      <c r="AD29" s="85" t="str" cm="1">
        <f t="array" ref="AD29">IF(OR($A29="",COLUMNS($D29:AD29)&gt;Management!$C$4),"",N(INDEX(Dashboard!$C$2:$AF$31,MATCH(LARGE(Dashboard!$AI$2:$AI$31,$A29),Dashboard!$AI$2:$AI$31,0),COLUMNS($D29:AD29)))&amp;"/"&amp;INDEX(Management!$B$7:$B$36,COLUMNS($D29:AD29)))</f>
        <v/>
      </c>
      <c r="AE29" s="85" t="str" cm="1">
        <f t="array" ref="AE29">IF(OR($A29="",COLUMNS($D29:AE29)&gt;Management!$C$4),"",N(INDEX(Dashboard!$C$2:$AF$31,MATCH(LARGE(Dashboard!$AI$2:$AI$31,$A29),Dashboard!$AI$2:$AI$31,0),COLUMNS($D29:AE29)))&amp;"/"&amp;INDEX(Management!$B$7:$B$36,COLUMNS($D29:AE29)))</f>
        <v/>
      </c>
      <c r="AF29" s="85" t="str" cm="1">
        <f t="array" ref="AF29">IF(OR($A29="",COLUMNS($D29:AF29)&gt;Management!$C$4),"",N(INDEX(Dashboard!$C$2:$AF$31,MATCH(LARGE(Dashboard!$AI$2:$AI$31,$A29),Dashboard!$AI$2:$AI$31,0),COLUMNS($D29:AF29)))&amp;"/"&amp;INDEX(Management!$B$7:$B$36,COLUMNS($D29:AF29)))</f>
        <v/>
      </c>
      <c r="AG29" s="86" t="str" cm="1">
        <f t="array" ref="AG29">IF(OR($A29="",COLUMNS($D29:AG29)&gt;Management!$C$4),"",N(INDEX(Dashboard!$C$2:$AF$31,MATCH(LARGE(Dashboard!$AI$2:$AI$31,$A29),Dashboard!$AI$2:$AI$31,0),COLUMNS($D29:AG29)))&amp;"/"&amp;INDEX(Management!$B$7:$B$36,COLUMNS($D29:AG29)))</f>
        <v/>
      </c>
    </row>
    <row r="30" spans="1:33" ht="24" customHeight="1" x14ac:dyDescent="0.45">
      <c r="A30" s="81">
        <f>IF(ROWS($A$2:A30)&gt;COUNTA(Management!$F$7:$F$36),"",ROWS($A$2:A30))</f>
        <v>29</v>
      </c>
      <c r="B30" s="95" t="str">
        <f>IF($A30="","",INDEX(Dashboard!$A$2:$A$31,MATCH(LARGE(Dashboard!$AI$2:$AI$31,$A30),Dashboard!$AI$2:$AI$31,0)))</f>
        <v>De Dolle Klompendansers</v>
      </c>
      <c r="C30" s="110" t="str">
        <f>IF($A30="","",INDEX(Dashboard!$AG$2:$AG$31,MATCH(LARGE(Dashboard!$AI$2:$AI$31,$A30),Dashboard!$AI$2:$AI$31,0))&amp;" / "&amp;INDEX(Dashboard!$AH$2:$AH$31,MATCH(LARGE(Dashboard!$AI$2:$AI$31,$A30),Dashboard!$AI$2:$AI$31,0)))</f>
        <v>46 / 140</v>
      </c>
      <c r="D30" s="102" t="str" cm="1">
        <f t="array" ref="D30">IF(OR($A30="",COLUMNS($D30:D30)&gt;Management!$C$4),"",N(INDEX(Dashboard!$C$2:$AF$31,MATCH(LARGE(Dashboard!$AI$2:$AI$31,$A30),Dashboard!$AI$2:$AI$31,0),COLUMNS($D30:D30)))&amp;"/"&amp;INDEX(Management!$B$7:$B$36,COLUMNS($D30:D30)))</f>
        <v>3/10</v>
      </c>
      <c r="E30" s="82" t="str" cm="1">
        <f t="array" ref="E30">IF(OR($A30="",COLUMNS($D30:E30)&gt;Management!$C$4),"",N(INDEX(Dashboard!$C$2:$AF$31,MATCH(LARGE(Dashboard!$AI$2:$AI$31,$A30),Dashboard!$AI$2:$AI$31,0),COLUMNS($D30:E30)))&amp;"/"&amp;INDEX(Management!$B$7:$B$36,COLUMNS($D30:E30)))</f>
        <v>6/10</v>
      </c>
      <c r="F30" s="82" t="str" cm="1">
        <f t="array" ref="F30">IF(OR($A30="",COLUMNS($D30:F30)&gt;Management!$C$4),"",N(INDEX(Dashboard!$C$2:$AF$31,MATCH(LARGE(Dashboard!$AI$2:$AI$31,$A30),Dashboard!$AI$2:$AI$31,0),COLUMNS($D30:F30)))&amp;"/"&amp;INDEX(Management!$B$7:$B$36,COLUMNS($D30:F30)))</f>
        <v>6/10</v>
      </c>
      <c r="G30" s="82" t="str" cm="1">
        <f t="array" ref="G30">IF(OR($A30="",COLUMNS($D30:G30)&gt;Management!$C$4),"",N(INDEX(Dashboard!$C$2:$AF$31,MATCH(LARGE(Dashboard!$AI$2:$AI$31,$A30),Dashboard!$AI$2:$AI$31,0),COLUMNS($D30:G30)))&amp;"/"&amp;INDEX(Management!$B$7:$B$36,COLUMNS($D30:G30)))</f>
        <v>5/20</v>
      </c>
      <c r="H30" s="82" t="str" cm="1">
        <f t="array" ref="H30">IF(OR($A30="",COLUMNS($D30:H30)&gt;Management!$C$4),"",N(INDEX(Dashboard!$C$2:$AF$31,MATCH(LARGE(Dashboard!$AI$2:$AI$31,$A30),Dashboard!$AI$2:$AI$31,0),COLUMNS($D30:H30)))&amp;"/"&amp;INDEX(Management!$B$7:$B$36,COLUMNS($D30:H30)))</f>
        <v>3/10</v>
      </c>
      <c r="I30" s="82" t="str" cm="1">
        <f t="array" ref="I30">IF(OR($A30="",COLUMNS($D30:I30)&gt;Management!$C$4),"",N(INDEX(Dashboard!$C$2:$AF$31,MATCH(LARGE(Dashboard!$AI$2:$AI$31,$A30),Dashboard!$AI$2:$AI$31,0),COLUMNS($D30:I30)))&amp;"/"&amp;INDEX(Management!$B$7:$B$36,COLUMNS($D30:I30)))</f>
        <v>4/10</v>
      </c>
      <c r="J30" s="82" t="str" cm="1">
        <f t="array" ref="J30">IF(OR($A30="",COLUMNS($D30:J30)&gt;Management!$C$4),"",N(INDEX(Dashboard!$C$2:$AF$31,MATCH(LARGE(Dashboard!$AI$2:$AI$31,$A30),Dashboard!$AI$2:$AI$31,0),COLUMNS($D30:J30)))&amp;"/"&amp;INDEX(Management!$B$7:$B$36,COLUMNS($D30:J30)))</f>
        <v>0/10</v>
      </c>
      <c r="K30" s="82" t="str" cm="1">
        <f t="array" ref="K30">IF(OR($A30="",COLUMNS($D30:K30)&gt;Management!$C$4),"",N(INDEX(Dashboard!$C$2:$AF$31,MATCH(LARGE(Dashboard!$AI$2:$AI$31,$A30),Dashboard!$AI$2:$AI$31,0),COLUMNS($D30:K30)))&amp;"/"&amp;INDEX(Management!$B$7:$B$36,COLUMNS($D30:K30)))</f>
        <v>11/15</v>
      </c>
      <c r="L30" s="82" t="str" cm="1">
        <f t="array" ref="L30">IF(OR($A30="",COLUMNS($D30:L30)&gt;Management!$C$4),"",N(INDEX(Dashboard!$C$2:$AF$31,MATCH(LARGE(Dashboard!$AI$2:$AI$31,$A30),Dashboard!$AI$2:$AI$31,0),COLUMNS($D30:L30)))&amp;"/"&amp;INDEX(Management!$B$7:$B$36,COLUMNS($D30:L30)))</f>
        <v>0/10</v>
      </c>
      <c r="M30" s="82" t="str" cm="1">
        <f t="array" ref="M30">IF(OR($A30="",COLUMNS($D30:M30)&gt;Management!$C$4),"",N(INDEX(Dashboard!$C$2:$AF$31,MATCH(LARGE(Dashboard!$AI$2:$AI$31,$A30),Dashboard!$AI$2:$AI$31,0),COLUMNS($D30:M30)))&amp;"/"&amp;INDEX(Management!$B$7:$B$36,COLUMNS($D30:M30)))</f>
        <v>0/10</v>
      </c>
      <c r="N30" s="82" t="str" cm="1">
        <f t="array" ref="N30">IF(OR($A30="",COLUMNS($D30:N30)&gt;Management!$C$4),"",N(INDEX(Dashboard!$C$2:$AF$31,MATCH(LARGE(Dashboard!$AI$2:$AI$31,$A30),Dashboard!$AI$2:$AI$31,0),COLUMNS($D30:N30)))&amp;"/"&amp;INDEX(Management!$B$7:$B$36,COLUMNS($D30:N30)))</f>
        <v>3/5</v>
      </c>
      <c r="O30" s="82" t="str" cm="1">
        <f t="array" ref="O30">IF(OR($A30="",COLUMNS($D30:O30)&gt;Management!$C$4),"",N(INDEX(Dashboard!$C$2:$AF$31,MATCH(LARGE(Dashboard!$AI$2:$AI$31,$A30),Dashboard!$AI$2:$AI$31,0),COLUMNS($D30:O30)))&amp;"/"&amp;INDEX(Management!$B$7:$B$36,COLUMNS($D30:O30)))</f>
        <v>0/10</v>
      </c>
      <c r="P30" s="82" t="str" cm="1">
        <f t="array" ref="P30">IF(OR($A30="",COLUMNS($D30:P30)&gt;Management!$C$4),"",N(INDEX(Dashboard!$C$2:$AF$31,MATCH(LARGE(Dashboard!$AI$2:$AI$31,$A30),Dashboard!$AI$2:$AI$31,0),COLUMNS($D30:P30)))&amp;"/"&amp;INDEX(Management!$B$7:$B$36,COLUMNS($D30:P30)))</f>
        <v>5/10</v>
      </c>
      <c r="Q30" s="82" t="str" cm="1">
        <f t="array" ref="Q30">IF(OR($A30="",COLUMNS($D30:Q30)&gt;Management!$C$4),"",N(INDEX(Dashboard!$C$2:$AF$31,MATCH(LARGE(Dashboard!$AI$2:$AI$31,$A30),Dashboard!$AI$2:$AI$31,0),COLUMNS($D30:Q30)))&amp;"/"&amp;INDEX(Management!$B$7:$B$36,COLUMNS($D30:Q30)))</f>
        <v/>
      </c>
      <c r="R30" s="82" t="str" cm="1">
        <f t="array" ref="R30">IF(OR($A30="",COLUMNS($D30:R30)&gt;Management!$C$4),"",N(INDEX(Dashboard!$C$2:$AF$31,MATCH(LARGE(Dashboard!$AI$2:$AI$31,$A30),Dashboard!$AI$2:$AI$31,0),COLUMNS($D30:R30)))&amp;"/"&amp;INDEX(Management!$B$7:$B$36,COLUMNS($D30:R30)))</f>
        <v/>
      </c>
      <c r="S30" s="82" t="str" cm="1">
        <f t="array" ref="S30">IF(OR($A30="",COLUMNS($D30:S30)&gt;Management!$C$4),"",N(INDEX(Dashboard!$C$2:$AF$31,MATCH(LARGE(Dashboard!$AI$2:$AI$31,$A30),Dashboard!$AI$2:$AI$31,0),COLUMNS($D30:S30)))&amp;"/"&amp;INDEX(Management!$B$7:$B$36,COLUMNS($D30:S30)))</f>
        <v/>
      </c>
      <c r="T30" s="82" t="str" cm="1">
        <f t="array" ref="T30">IF(OR($A30="",COLUMNS($D30:T30)&gt;Management!$C$4),"",N(INDEX(Dashboard!$C$2:$AF$31,MATCH(LARGE(Dashboard!$AI$2:$AI$31,$A30),Dashboard!$AI$2:$AI$31,0),COLUMNS($D30:T30)))&amp;"/"&amp;INDEX(Management!$B$7:$B$36,COLUMNS($D30:T30)))</f>
        <v/>
      </c>
      <c r="U30" s="82" t="str" cm="1">
        <f t="array" ref="U30">IF(OR($A30="",COLUMNS($D30:U30)&gt;Management!$C$4),"",N(INDEX(Dashboard!$C$2:$AF$31,MATCH(LARGE(Dashboard!$AI$2:$AI$31,$A30),Dashboard!$AI$2:$AI$31,0),COLUMNS($D30:U30)))&amp;"/"&amp;INDEX(Management!$B$7:$B$36,COLUMNS($D30:U30)))</f>
        <v/>
      </c>
      <c r="V30" s="82" t="str" cm="1">
        <f t="array" ref="V30">IF(OR($A30="",COLUMNS($D30:V30)&gt;Management!$C$4),"",N(INDEX(Dashboard!$C$2:$AF$31,MATCH(LARGE(Dashboard!$AI$2:$AI$31,$A30),Dashboard!$AI$2:$AI$31,0),COLUMNS($D30:V30)))&amp;"/"&amp;INDEX(Management!$B$7:$B$36,COLUMNS($D30:V30)))</f>
        <v/>
      </c>
      <c r="W30" s="82" t="str" cm="1">
        <f t="array" ref="W30">IF(OR($A30="",COLUMNS($D30:W30)&gt;Management!$C$4),"",N(INDEX(Dashboard!$C$2:$AF$31,MATCH(LARGE(Dashboard!$AI$2:$AI$31,$A30),Dashboard!$AI$2:$AI$31,0),COLUMNS($D30:W30)))&amp;"/"&amp;INDEX(Management!$B$7:$B$36,COLUMNS($D30:W30)))</f>
        <v/>
      </c>
      <c r="X30" s="82" t="str" cm="1">
        <f t="array" ref="X30">IF(OR($A30="",COLUMNS($D30:X30)&gt;Management!$C$4),"",N(INDEX(Dashboard!$C$2:$AF$31,MATCH(LARGE(Dashboard!$AI$2:$AI$31,$A30),Dashboard!$AI$2:$AI$31,0),COLUMNS($D30:X30)))&amp;"/"&amp;INDEX(Management!$B$7:$B$36,COLUMNS($D30:X30)))</f>
        <v/>
      </c>
      <c r="Y30" s="82" t="str" cm="1">
        <f t="array" ref="Y30">IF(OR($A30="",COLUMNS($D30:Y30)&gt;Management!$C$4),"",N(INDEX(Dashboard!$C$2:$AF$31,MATCH(LARGE(Dashboard!$AI$2:$AI$31,$A30),Dashboard!$AI$2:$AI$31,0),COLUMNS($D30:Y30)))&amp;"/"&amp;INDEX(Management!$B$7:$B$36,COLUMNS($D30:Y30)))</f>
        <v/>
      </c>
      <c r="Z30" s="82" t="str" cm="1">
        <f t="array" ref="Z30">IF(OR($A30="",COLUMNS($D30:Z30)&gt;Management!$C$4),"",N(INDEX(Dashboard!$C$2:$AF$31,MATCH(LARGE(Dashboard!$AI$2:$AI$31,$A30),Dashboard!$AI$2:$AI$31,0),COLUMNS($D30:Z30)))&amp;"/"&amp;INDEX(Management!$B$7:$B$36,COLUMNS($D30:Z30)))</f>
        <v/>
      </c>
      <c r="AA30" s="82" t="str" cm="1">
        <f t="array" ref="AA30">IF(OR($A30="",COLUMNS($D30:AA30)&gt;Management!$C$4),"",N(INDEX(Dashboard!$C$2:$AF$31,MATCH(LARGE(Dashboard!$AI$2:$AI$31,$A30),Dashboard!$AI$2:$AI$31,0),COLUMNS($D30:AA30)))&amp;"/"&amp;INDEX(Management!$B$7:$B$36,COLUMNS($D30:AA30)))</f>
        <v/>
      </c>
      <c r="AB30" s="82" t="str" cm="1">
        <f t="array" ref="AB30">IF(OR($A30="",COLUMNS($D30:AB30)&gt;Management!$C$4),"",N(INDEX(Dashboard!$C$2:$AF$31,MATCH(LARGE(Dashboard!$AI$2:$AI$31,$A30),Dashboard!$AI$2:$AI$31,0),COLUMNS($D30:AB30)))&amp;"/"&amp;INDEX(Management!$B$7:$B$36,COLUMNS($D30:AB30)))</f>
        <v/>
      </c>
      <c r="AC30" s="82" t="str" cm="1">
        <f t="array" ref="AC30">IF(OR($A30="",COLUMNS($D30:AC30)&gt;Management!$C$4),"",N(INDEX(Dashboard!$C$2:$AF$31,MATCH(LARGE(Dashboard!$AI$2:$AI$31,$A30),Dashboard!$AI$2:$AI$31,0),COLUMNS($D30:AC30)))&amp;"/"&amp;INDEX(Management!$B$7:$B$36,COLUMNS($D30:AC30)))</f>
        <v/>
      </c>
      <c r="AD30" s="82" t="str" cm="1">
        <f t="array" ref="AD30">IF(OR($A30="",COLUMNS($D30:AD30)&gt;Management!$C$4),"",N(INDEX(Dashboard!$C$2:$AF$31,MATCH(LARGE(Dashboard!$AI$2:$AI$31,$A30),Dashboard!$AI$2:$AI$31,0),COLUMNS($D30:AD30)))&amp;"/"&amp;INDEX(Management!$B$7:$B$36,COLUMNS($D30:AD30)))</f>
        <v/>
      </c>
      <c r="AE30" s="82" t="str" cm="1">
        <f t="array" ref="AE30">IF(OR($A30="",COLUMNS($D30:AE30)&gt;Management!$C$4),"",N(INDEX(Dashboard!$C$2:$AF$31,MATCH(LARGE(Dashboard!$AI$2:$AI$31,$A30),Dashboard!$AI$2:$AI$31,0),COLUMNS($D30:AE30)))&amp;"/"&amp;INDEX(Management!$B$7:$B$36,COLUMNS($D30:AE30)))</f>
        <v/>
      </c>
      <c r="AF30" s="82" t="str" cm="1">
        <f t="array" ref="AF30">IF(OR($A30="",COLUMNS($D30:AF30)&gt;Management!$C$4),"",N(INDEX(Dashboard!$C$2:$AF$31,MATCH(LARGE(Dashboard!$AI$2:$AI$31,$A30),Dashboard!$AI$2:$AI$31,0),COLUMNS($D30:AF30)))&amp;"/"&amp;INDEX(Management!$B$7:$B$36,COLUMNS($D30:AF30)))</f>
        <v/>
      </c>
      <c r="AG30" s="83" t="str" cm="1">
        <f t="array" ref="AG30">IF(OR($A30="",COLUMNS($D30:AG30)&gt;Management!$C$4),"",N(INDEX(Dashboard!$C$2:$AF$31,MATCH(LARGE(Dashboard!$AI$2:$AI$31,$A30),Dashboard!$AI$2:$AI$31,0),COLUMNS($D30:AG30)))&amp;"/"&amp;INDEX(Management!$B$7:$B$36,COLUMNS($D30:AG30)))</f>
        <v/>
      </c>
    </row>
    <row r="31" spans="1:33" ht="24" customHeight="1" x14ac:dyDescent="0.45">
      <c r="A31" s="87">
        <f>IF(ROWS($A$2:A31)&gt;COUNTA(Management!$F$7:$F$36),"",ROWS($A$2:A31))</f>
        <v>30</v>
      </c>
      <c r="B31" s="97" t="str">
        <f>IF($A31="","",INDEX(Dashboard!$A$2:$A$31,MATCH(LARGE(Dashboard!$AI$2:$AI$31,$A31),Dashboard!$AI$2:$AI$31,0)))</f>
        <v>Team19</v>
      </c>
      <c r="C31" s="111" t="str">
        <f>IF($A31="","",INDEX(Dashboard!$AG$2:$AG$31,MATCH(LARGE(Dashboard!$AI$2:$AI$31,$A31),Dashboard!$AI$2:$AI$31,0))&amp;" / "&amp;INDEX(Dashboard!$AH$2:$AH$31,MATCH(LARGE(Dashboard!$AI$2:$AI$31,$A31),Dashboard!$AI$2:$AI$31,0)))</f>
        <v>42 / 140</v>
      </c>
      <c r="D31" s="104" t="str" cm="1">
        <f t="array" ref="D31">IF(OR($A31="",COLUMNS($D31:D31)&gt;Management!$C$4),"",N(INDEX(Dashboard!$C$2:$AF$31,MATCH(LARGE(Dashboard!$AI$2:$AI$31,$A31),Dashboard!$AI$2:$AI$31,0),COLUMNS($D31:D31)))&amp;"/"&amp;INDEX(Management!$B$7:$B$36,COLUMNS($D31:D31)))</f>
        <v>3/10</v>
      </c>
      <c r="E31" s="88" t="str" cm="1">
        <f t="array" ref="E31">IF(OR($A31="",COLUMNS($D31:E31)&gt;Management!$C$4),"",N(INDEX(Dashboard!$C$2:$AF$31,MATCH(LARGE(Dashboard!$AI$2:$AI$31,$A31),Dashboard!$AI$2:$AI$31,0),COLUMNS($D31:E31)))&amp;"/"&amp;INDEX(Management!$B$7:$B$36,COLUMNS($D31:E31)))</f>
        <v>6/10</v>
      </c>
      <c r="F31" s="88" t="str" cm="1">
        <f t="array" ref="F31">IF(OR($A31="",COLUMNS($D31:F31)&gt;Management!$C$4),"",N(INDEX(Dashboard!$C$2:$AF$31,MATCH(LARGE(Dashboard!$AI$2:$AI$31,$A31),Dashboard!$AI$2:$AI$31,0),COLUMNS($D31:F31)))&amp;"/"&amp;INDEX(Management!$B$7:$B$36,COLUMNS($D31:F31)))</f>
        <v>6/10</v>
      </c>
      <c r="G31" s="88" t="str" cm="1">
        <f t="array" ref="G31">IF(OR($A31="",COLUMNS($D31:G31)&gt;Management!$C$4),"",N(INDEX(Dashboard!$C$2:$AF$31,MATCH(LARGE(Dashboard!$AI$2:$AI$31,$A31),Dashboard!$AI$2:$AI$31,0),COLUMNS($D31:G31)))&amp;"/"&amp;INDEX(Management!$B$7:$B$36,COLUMNS($D31:G31)))</f>
        <v>5/20</v>
      </c>
      <c r="H31" s="88" t="str" cm="1">
        <f t="array" ref="H31">IF(OR($A31="",COLUMNS($D31:H31)&gt;Management!$C$4),"",N(INDEX(Dashboard!$C$2:$AF$31,MATCH(LARGE(Dashboard!$AI$2:$AI$31,$A31),Dashboard!$AI$2:$AI$31,0),COLUMNS($D31:H31)))&amp;"/"&amp;INDEX(Management!$B$7:$B$36,COLUMNS($D31:H31)))</f>
        <v>3/10</v>
      </c>
      <c r="I31" s="88" t="str" cm="1">
        <f t="array" ref="I31">IF(OR($A31="",COLUMNS($D31:I31)&gt;Management!$C$4),"",N(INDEX(Dashboard!$C$2:$AF$31,MATCH(LARGE(Dashboard!$AI$2:$AI$31,$A31),Dashboard!$AI$2:$AI$31,0),COLUMNS($D31:I31)))&amp;"/"&amp;INDEX(Management!$B$7:$B$36,COLUMNS($D31:I31)))</f>
        <v>4/10</v>
      </c>
      <c r="J31" s="88" t="str" cm="1">
        <f t="array" ref="J31">IF(OR($A31="",COLUMNS($D31:J31)&gt;Management!$C$4),"",N(INDEX(Dashboard!$C$2:$AF$31,MATCH(LARGE(Dashboard!$AI$2:$AI$31,$A31),Dashboard!$AI$2:$AI$31,0),COLUMNS($D31:J31)))&amp;"/"&amp;INDEX(Management!$B$7:$B$36,COLUMNS($D31:J31)))</f>
        <v>0/10</v>
      </c>
      <c r="K31" s="88" t="str" cm="1">
        <f t="array" ref="K31">IF(OR($A31="",COLUMNS($D31:K31)&gt;Management!$C$4),"",N(INDEX(Dashboard!$C$2:$AF$31,MATCH(LARGE(Dashboard!$AI$2:$AI$31,$A31),Dashboard!$AI$2:$AI$31,0),COLUMNS($D31:K31)))&amp;"/"&amp;INDEX(Management!$B$7:$B$36,COLUMNS($D31:K31)))</f>
        <v>11/15</v>
      </c>
      <c r="L31" s="88" t="str" cm="1">
        <f t="array" ref="L31">IF(OR($A31="",COLUMNS($D31:L31)&gt;Management!$C$4),"",N(INDEX(Dashboard!$C$2:$AF$31,MATCH(LARGE(Dashboard!$AI$2:$AI$31,$A31),Dashboard!$AI$2:$AI$31,0),COLUMNS($D31:L31)))&amp;"/"&amp;INDEX(Management!$B$7:$B$36,COLUMNS($D31:L31)))</f>
        <v>0/10</v>
      </c>
      <c r="M31" s="88" t="str" cm="1">
        <f t="array" ref="M31">IF(OR($A31="",COLUMNS($D31:M31)&gt;Management!$C$4),"",N(INDEX(Dashboard!$C$2:$AF$31,MATCH(LARGE(Dashboard!$AI$2:$AI$31,$A31),Dashboard!$AI$2:$AI$31,0),COLUMNS($D31:M31)))&amp;"/"&amp;INDEX(Management!$B$7:$B$36,COLUMNS($D31:M31)))</f>
        <v>0/10</v>
      </c>
      <c r="N31" s="88" t="str" cm="1">
        <f t="array" ref="N31">IF(OR($A31="",COLUMNS($D31:N31)&gt;Management!$C$4),"",N(INDEX(Dashboard!$C$2:$AF$31,MATCH(LARGE(Dashboard!$AI$2:$AI$31,$A31),Dashboard!$AI$2:$AI$31,0),COLUMNS($D31:N31)))&amp;"/"&amp;INDEX(Management!$B$7:$B$36,COLUMNS($D31:N31)))</f>
        <v>3/5</v>
      </c>
      <c r="O31" s="88" t="str" cm="1">
        <f t="array" ref="O31">IF(OR($A31="",COLUMNS($D31:O31)&gt;Management!$C$4),"",N(INDEX(Dashboard!$C$2:$AF$31,MATCH(LARGE(Dashboard!$AI$2:$AI$31,$A31),Dashboard!$AI$2:$AI$31,0),COLUMNS($D31:O31)))&amp;"/"&amp;INDEX(Management!$B$7:$B$36,COLUMNS($D31:O31)))</f>
        <v>0/10</v>
      </c>
      <c r="P31" s="88" t="str" cm="1">
        <f t="array" ref="P31">IF(OR($A31="",COLUMNS($D31:P31)&gt;Management!$C$4),"",N(INDEX(Dashboard!$C$2:$AF$31,MATCH(LARGE(Dashboard!$AI$2:$AI$31,$A31),Dashboard!$AI$2:$AI$31,0),COLUMNS($D31:P31)))&amp;"/"&amp;INDEX(Management!$B$7:$B$36,COLUMNS($D31:P31)))</f>
        <v>1/10</v>
      </c>
      <c r="Q31" s="88" t="str" cm="1">
        <f t="array" ref="Q31">IF(OR($A31="",COLUMNS($D31:Q31)&gt;Management!$C$4),"",N(INDEX(Dashboard!$C$2:$AF$31,MATCH(LARGE(Dashboard!$AI$2:$AI$31,$A31),Dashboard!$AI$2:$AI$31,0),COLUMNS($D31:Q31)))&amp;"/"&amp;INDEX(Management!$B$7:$B$36,COLUMNS($D31:Q31)))</f>
        <v/>
      </c>
      <c r="R31" s="88" t="str" cm="1">
        <f t="array" ref="R31">IF(OR($A31="",COLUMNS($D31:R31)&gt;Management!$C$4),"",N(INDEX(Dashboard!$C$2:$AF$31,MATCH(LARGE(Dashboard!$AI$2:$AI$31,$A31),Dashboard!$AI$2:$AI$31,0),COLUMNS($D31:R31)))&amp;"/"&amp;INDEX(Management!$B$7:$B$36,COLUMNS($D31:R31)))</f>
        <v/>
      </c>
      <c r="S31" s="88" t="str" cm="1">
        <f t="array" ref="S31">IF(OR($A31="",COLUMNS($D31:S31)&gt;Management!$C$4),"",N(INDEX(Dashboard!$C$2:$AF$31,MATCH(LARGE(Dashboard!$AI$2:$AI$31,$A31),Dashboard!$AI$2:$AI$31,0),COLUMNS($D31:S31)))&amp;"/"&amp;INDEX(Management!$B$7:$B$36,COLUMNS($D31:S31)))</f>
        <v/>
      </c>
      <c r="T31" s="88" t="str" cm="1">
        <f t="array" ref="T31">IF(OR($A31="",COLUMNS($D31:T31)&gt;Management!$C$4),"",N(INDEX(Dashboard!$C$2:$AF$31,MATCH(LARGE(Dashboard!$AI$2:$AI$31,$A31),Dashboard!$AI$2:$AI$31,0),COLUMNS($D31:T31)))&amp;"/"&amp;INDEX(Management!$B$7:$B$36,COLUMNS($D31:T31)))</f>
        <v/>
      </c>
      <c r="U31" s="88" t="str" cm="1">
        <f t="array" ref="U31">IF(OR($A31="",COLUMNS($D31:U31)&gt;Management!$C$4),"",N(INDEX(Dashboard!$C$2:$AF$31,MATCH(LARGE(Dashboard!$AI$2:$AI$31,$A31),Dashboard!$AI$2:$AI$31,0),COLUMNS($D31:U31)))&amp;"/"&amp;INDEX(Management!$B$7:$B$36,COLUMNS($D31:U31)))</f>
        <v/>
      </c>
      <c r="V31" s="88" t="str" cm="1">
        <f t="array" ref="V31">IF(OR($A31="",COLUMNS($D31:V31)&gt;Management!$C$4),"",N(INDEX(Dashboard!$C$2:$AF$31,MATCH(LARGE(Dashboard!$AI$2:$AI$31,$A31),Dashboard!$AI$2:$AI$31,0),COLUMNS($D31:V31)))&amp;"/"&amp;INDEX(Management!$B$7:$B$36,COLUMNS($D31:V31)))</f>
        <v/>
      </c>
      <c r="W31" s="88" t="str" cm="1">
        <f t="array" ref="W31">IF(OR($A31="",COLUMNS($D31:W31)&gt;Management!$C$4),"",N(INDEX(Dashboard!$C$2:$AF$31,MATCH(LARGE(Dashboard!$AI$2:$AI$31,$A31),Dashboard!$AI$2:$AI$31,0),COLUMNS($D31:W31)))&amp;"/"&amp;INDEX(Management!$B$7:$B$36,COLUMNS($D31:W31)))</f>
        <v/>
      </c>
      <c r="X31" s="88" t="str" cm="1">
        <f t="array" ref="X31">IF(OR($A31="",COLUMNS($D31:X31)&gt;Management!$C$4),"",N(INDEX(Dashboard!$C$2:$AF$31,MATCH(LARGE(Dashboard!$AI$2:$AI$31,$A31),Dashboard!$AI$2:$AI$31,0),COLUMNS($D31:X31)))&amp;"/"&amp;INDEX(Management!$B$7:$B$36,COLUMNS($D31:X31)))</f>
        <v/>
      </c>
      <c r="Y31" s="88" t="str" cm="1">
        <f t="array" ref="Y31">IF(OR($A31="",COLUMNS($D31:Y31)&gt;Management!$C$4),"",N(INDEX(Dashboard!$C$2:$AF$31,MATCH(LARGE(Dashboard!$AI$2:$AI$31,$A31),Dashboard!$AI$2:$AI$31,0),COLUMNS($D31:Y31)))&amp;"/"&amp;INDEX(Management!$B$7:$B$36,COLUMNS($D31:Y31)))</f>
        <v/>
      </c>
      <c r="Z31" s="88" t="str" cm="1">
        <f t="array" ref="Z31">IF(OR($A31="",COLUMNS($D31:Z31)&gt;Management!$C$4),"",N(INDEX(Dashboard!$C$2:$AF$31,MATCH(LARGE(Dashboard!$AI$2:$AI$31,$A31),Dashboard!$AI$2:$AI$31,0),COLUMNS($D31:Z31)))&amp;"/"&amp;INDEX(Management!$B$7:$B$36,COLUMNS($D31:Z31)))</f>
        <v/>
      </c>
      <c r="AA31" s="88" t="str" cm="1">
        <f t="array" ref="AA31">IF(OR($A31="",COLUMNS($D31:AA31)&gt;Management!$C$4),"",N(INDEX(Dashboard!$C$2:$AF$31,MATCH(LARGE(Dashboard!$AI$2:$AI$31,$A31),Dashboard!$AI$2:$AI$31,0),COLUMNS($D31:AA31)))&amp;"/"&amp;INDEX(Management!$B$7:$B$36,COLUMNS($D31:AA31)))</f>
        <v/>
      </c>
      <c r="AB31" s="88" t="str" cm="1">
        <f t="array" ref="AB31">IF(OR($A31="",COLUMNS($D31:AB31)&gt;Management!$C$4),"",N(INDEX(Dashboard!$C$2:$AF$31,MATCH(LARGE(Dashboard!$AI$2:$AI$31,$A31),Dashboard!$AI$2:$AI$31,0),COLUMNS($D31:AB31)))&amp;"/"&amp;INDEX(Management!$B$7:$B$36,COLUMNS($D31:AB31)))</f>
        <v/>
      </c>
      <c r="AC31" s="88" t="str" cm="1">
        <f t="array" ref="AC31">IF(OR($A31="",COLUMNS($D31:AC31)&gt;Management!$C$4),"",N(INDEX(Dashboard!$C$2:$AF$31,MATCH(LARGE(Dashboard!$AI$2:$AI$31,$A31),Dashboard!$AI$2:$AI$31,0),COLUMNS($D31:AC31)))&amp;"/"&amp;INDEX(Management!$B$7:$B$36,COLUMNS($D31:AC31)))</f>
        <v/>
      </c>
      <c r="AD31" s="88" t="str" cm="1">
        <f t="array" ref="AD31">IF(OR($A31="",COLUMNS($D31:AD31)&gt;Management!$C$4),"",N(INDEX(Dashboard!$C$2:$AF$31,MATCH(LARGE(Dashboard!$AI$2:$AI$31,$A31),Dashboard!$AI$2:$AI$31,0),COLUMNS($D31:AD31)))&amp;"/"&amp;INDEX(Management!$B$7:$B$36,COLUMNS($D31:AD31)))</f>
        <v/>
      </c>
      <c r="AE31" s="88" t="str" cm="1">
        <f t="array" ref="AE31">IF(OR($A31="",COLUMNS($D31:AE31)&gt;Management!$C$4),"",N(INDEX(Dashboard!$C$2:$AF$31,MATCH(LARGE(Dashboard!$AI$2:$AI$31,$A31),Dashboard!$AI$2:$AI$31,0),COLUMNS($D31:AE31)))&amp;"/"&amp;INDEX(Management!$B$7:$B$36,COLUMNS($D31:AE31)))</f>
        <v/>
      </c>
      <c r="AF31" s="88" t="str" cm="1">
        <f t="array" ref="AF31">IF(OR($A31="",COLUMNS($D31:AF31)&gt;Management!$C$4),"",N(INDEX(Dashboard!$C$2:$AF$31,MATCH(LARGE(Dashboard!$AI$2:$AI$31,$A31),Dashboard!$AI$2:$AI$31,0),COLUMNS($D31:AF31)))&amp;"/"&amp;INDEX(Management!$B$7:$B$36,COLUMNS($D31:AF31)))</f>
        <v/>
      </c>
      <c r="AG31" s="89" t="str" cm="1">
        <f t="array" ref="AG31">IF(OR($A31="",COLUMNS($D31:AG31)&gt;Management!$C$4),"",N(INDEX(Dashboard!$C$2:$AF$31,MATCH(LARGE(Dashboard!$AI$2:$AI$31,$A31),Dashboard!$AI$2:$AI$31,0),COLUMNS($D31:AG31)))&amp;"/"&amp;INDEX(Management!$B$7:$B$36,COLUMNS($D31:AG31)))</f>
        <v/>
      </c>
    </row>
    <row r="32" spans="1:33" x14ac:dyDescent="0.45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</row>
    <row r="33" spans="1:33" x14ac:dyDescent="0.45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</row>
    <row r="34" spans="1:33" x14ac:dyDescent="0.45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</row>
    <row r="35" spans="1:33" x14ac:dyDescent="0.45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</row>
    <row r="36" spans="1:33" x14ac:dyDescent="0.45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</row>
    <row r="37" spans="1:33" x14ac:dyDescent="0.45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</row>
    <row r="38" spans="1:33" x14ac:dyDescent="0.45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</row>
    <row r="39" spans="1:33" x14ac:dyDescent="0.45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</row>
    <row r="40" spans="1:33" x14ac:dyDescent="0.45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</row>
  </sheetData>
  <conditionalFormatting sqref="D2:AG31">
    <cfRule type="expression" dxfId="0" priority="1">
      <formula>AND(D2&lt;&gt;"",LEFT(D2,FIND("/",D2&amp;"/")-1)=MID(D2,FIND("/",D2&amp;"/")+1,10),LEFT(D2,FIND("/",D2&amp;"/")-1)&lt;&gt;"0")</formula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6D48A-56A1-4A52-99CB-5170FCFC2563}">
  <sheetPr>
    <pageSetUpPr fitToPage="1"/>
  </sheetPr>
  <dimension ref="A1:AZ80"/>
  <sheetViews>
    <sheetView workbookViewId="0">
      <selection activeCell="AE18" sqref="AE18"/>
    </sheetView>
  </sheetViews>
  <sheetFormatPr defaultRowHeight="14.25" x14ac:dyDescent="0.45"/>
  <cols>
    <col min="1" max="1" width="1.53125" customWidth="1"/>
    <col min="2" max="9" width="3.19921875" customWidth="1"/>
    <col min="10" max="10" width="12.46484375" customWidth="1"/>
    <col min="11" max="19" width="3.19921875" customWidth="1"/>
    <col min="20" max="20" width="12.46484375" customWidth="1"/>
    <col min="21" max="21" width="2.1328125" style="51" customWidth="1"/>
    <col min="22" max="22" width="6.73046875" style="51" customWidth="1"/>
    <col min="23" max="25" width="7.46484375" style="51" customWidth="1"/>
    <col min="26" max="26" width="19.53125" style="51" customWidth="1"/>
    <col min="27" max="27" width="8.86328125" customWidth="1"/>
    <col min="28" max="30" width="2.1328125" customWidth="1"/>
  </cols>
  <sheetData>
    <row r="1" spans="1:52" ht="8" customHeight="1" x14ac:dyDescent="0.45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</row>
    <row r="2" spans="1:52" ht="21" customHeight="1" x14ac:dyDescent="0.45">
      <c r="A2" s="112"/>
      <c r="B2" s="117" t="s">
        <v>21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2"/>
      <c r="V2" s="112"/>
      <c r="W2" s="112"/>
      <c r="X2" s="112"/>
      <c r="Y2" s="112"/>
      <c r="Z2" s="112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</row>
    <row r="3" spans="1:52" ht="4.05" customHeight="1" x14ac:dyDescent="0.45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2"/>
      <c r="V3" s="112"/>
      <c r="W3" s="112"/>
      <c r="X3" s="112"/>
      <c r="Y3" s="112"/>
      <c r="Z3" s="112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</row>
    <row r="4" spans="1:52" ht="4.05" customHeight="1" x14ac:dyDescent="0.45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2"/>
      <c r="V4" s="112"/>
      <c r="W4" s="112"/>
      <c r="X4" s="112"/>
      <c r="Y4" s="112"/>
      <c r="Z4" s="112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</row>
    <row r="5" spans="1:52" ht="16.05" customHeight="1" x14ac:dyDescent="0.45">
      <c r="A5" s="112"/>
      <c r="B5" s="118" t="s">
        <v>22</v>
      </c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2"/>
      <c r="V5" s="112"/>
      <c r="W5" s="112"/>
      <c r="X5" s="112"/>
      <c r="Y5" s="112"/>
      <c r="Z5" s="112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</row>
    <row r="6" spans="1:52" ht="22.05" customHeight="1" x14ac:dyDescent="0.45">
      <c r="A6" s="112"/>
      <c r="B6" s="142"/>
      <c r="C6" s="143"/>
      <c r="D6" s="143"/>
      <c r="E6" s="144"/>
      <c r="F6" s="112"/>
      <c r="G6" s="148"/>
      <c r="H6" s="149"/>
      <c r="I6" s="149"/>
      <c r="J6" s="150"/>
      <c r="K6" s="112"/>
      <c r="L6" s="154"/>
      <c r="M6" s="155"/>
      <c r="N6" s="155"/>
      <c r="O6" s="156"/>
      <c r="P6" s="112"/>
      <c r="Q6" s="160"/>
      <c r="R6" s="161"/>
      <c r="S6" s="161"/>
      <c r="T6" s="162"/>
      <c r="U6" s="112"/>
      <c r="V6" s="124" t="s">
        <v>99</v>
      </c>
      <c r="W6" s="122"/>
      <c r="X6" s="122"/>
      <c r="Y6" s="122"/>
      <c r="Z6" s="122"/>
      <c r="AA6" s="123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</row>
    <row r="7" spans="1:52" ht="18" customHeight="1" x14ac:dyDescent="0.45">
      <c r="A7" s="112"/>
      <c r="B7" s="210" t="s">
        <v>17</v>
      </c>
      <c r="C7" s="145"/>
      <c r="D7" s="145"/>
      <c r="E7" s="146"/>
      <c r="F7" s="113"/>
      <c r="G7" s="213" t="s">
        <v>18</v>
      </c>
      <c r="H7" s="151"/>
      <c r="I7" s="151"/>
      <c r="J7" s="152"/>
      <c r="K7" s="113"/>
      <c r="L7" s="216" t="s">
        <v>19</v>
      </c>
      <c r="M7" s="157"/>
      <c r="N7" s="157"/>
      <c r="O7" s="158"/>
      <c r="P7" s="113"/>
      <c r="Q7" s="219" t="s">
        <v>23</v>
      </c>
      <c r="R7" s="163"/>
      <c r="S7" s="163"/>
      <c r="T7" s="164"/>
      <c r="U7" s="112"/>
      <c r="V7" s="125" t="s">
        <v>100</v>
      </c>
      <c r="W7" s="126" t="s">
        <v>42</v>
      </c>
      <c r="X7" s="126" t="s">
        <v>12</v>
      </c>
      <c r="Y7" s="126" t="s">
        <v>43</v>
      </c>
      <c r="Z7" s="126" t="s">
        <v>44</v>
      </c>
      <c r="AA7" s="127" t="s">
        <v>45</v>
      </c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</row>
    <row r="8" spans="1:52" ht="18" customHeight="1" x14ac:dyDescent="0.45">
      <c r="A8" s="112"/>
      <c r="B8" s="147"/>
      <c r="C8" s="145"/>
      <c r="D8" s="145"/>
      <c r="E8" s="146"/>
      <c r="F8" s="113"/>
      <c r="G8" s="153"/>
      <c r="H8" s="151"/>
      <c r="I8" s="151"/>
      <c r="J8" s="152"/>
      <c r="K8" s="113"/>
      <c r="L8" s="159"/>
      <c r="M8" s="157"/>
      <c r="N8" s="157"/>
      <c r="O8" s="158"/>
      <c r="P8" s="113"/>
      <c r="Q8" s="165"/>
      <c r="R8" s="163"/>
      <c r="S8" s="163"/>
      <c r="T8" s="164"/>
      <c r="U8" s="112"/>
      <c r="V8" s="128" t="str">
        <f>IF(1&lt;=Management!$C$4,"R1","")</f>
        <v>R1</v>
      </c>
      <c r="W8" s="134">
        <f ca="1">IF(1&lt;=Management!$C$4,ROUND(AVERAGE(OFFSET(Dashboard!$B$2,0,1,COUNTA(Management!$F$7:$F$36),1)),1),"")</f>
        <v>5.5</v>
      </c>
      <c r="X8" s="135">
        <f ca="1">IF(1&lt;=Management!$C$4,MAX(OFFSET(Dashboard!$B$2,0,1,COUNTA(Management!$F$7:$F$36),1)),"")</f>
        <v>8</v>
      </c>
      <c r="Y8" s="136">
        <f ca="1">IF(1&lt;=Management!$C$4,MIN(OFFSET(Dashboard!$B$2,0,1,COUNTA(Management!$F$7:$F$36),1)),"")</f>
        <v>2</v>
      </c>
      <c r="Z8" s="184" t="str">
        <f ca="1">IF(1&lt;=Management!$C$4,REPT("█",ROUND(AVERAGE(OFFSET(Dashboard!$B$2,0,1,COUNTA(Management!$F$7:$F$36),1))*2,0)),"")</f>
        <v>███████████</v>
      </c>
      <c r="AA8" s="137" t="str">
        <f ca="1">IF(1&lt;=Management!$C$4,TEXT(COUNTIF(OFFSET(Dashboard!$B$2,0,1,COUNTA(Management!$F$7:$F$36),1),10)/COUNTA(Management!$F$7:$F$36),"0%"),"")</f>
        <v>0%</v>
      </c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</row>
    <row r="9" spans="1:52" ht="18" customHeight="1" x14ac:dyDescent="0.45">
      <c r="A9" s="112"/>
      <c r="B9" s="211">
        <f>COUNTA(Management!F7:F36)</f>
        <v>30</v>
      </c>
      <c r="C9" s="177"/>
      <c r="D9" s="177"/>
      <c r="E9" s="212"/>
      <c r="F9" s="204"/>
      <c r="G9" s="214">
        <f>Management!C4</f>
        <v>13</v>
      </c>
      <c r="H9" s="176"/>
      <c r="I9" s="176"/>
      <c r="J9" s="215"/>
      <c r="K9" s="205"/>
      <c r="L9" s="217">
        <f>SUM(Dashboard!C2:AF31)</f>
        <v>2061</v>
      </c>
      <c r="M9" s="179"/>
      <c r="N9" s="179"/>
      <c r="O9" s="218"/>
      <c r="P9" s="206"/>
      <c r="Q9" s="220">
        <f>ROUND(AVERAGE(Dashboard!C2:AF31),1)</f>
        <v>5.3</v>
      </c>
      <c r="R9" s="178"/>
      <c r="S9" s="178"/>
      <c r="T9" s="221"/>
      <c r="U9" s="112"/>
      <c r="V9" s="128" t="str">
        <f>IF(2&lt;=Management!$C$4,"R2","")</f>
        <v>R2</v>
      </c>
      <c r="W9" s="130">
        <f ca="1">IF(2&lt;=Management!$C$4,ROUND(AVERAGE(OFFSET(Dashboard!$B$2,0,2,COUNTA(Management!$F$7:$F$36),1)),1),"")</f>
        <v>6.5</v>
      </c>
      <c r="X9" s="131">
        <f ca="1">IF(2&lt;=Management!$C$4,MAX(OFFSET(Dashboard!$B$2,0,2,COUNTA(Management!$F$7:$F$36),1)),"")</f>
        <v>10</v>
      </c>
      <c r="Y9" s="132">
        <f ca="1">IF(2&lt;=Management!$C$4,MIN(OFFSET(Dashboard!$B$2,0,2,COUNTA(Management!$F$7:$F$36),1)),"")</f>
        <v>3</v>
      </c>
      <c r="Z9" s="185" t="str">
        <f ca="1">IF(2&lt;=Management!$C$4,REPT("█",ROUND(AVERAGE(OFFSET(Dashboard!$B$2,0,2,COUNTA(Management!$F$7:$F$36),1))*2,0)),"")</f>
        <v>█████████████</v>
      </c>
      <c r="AA9" s="133" t="str">
        <f ca="1">IF(2&lt;=Management!$C$4,TEXT(COUNTIF(OFFSET(Dashboard!$B$2,0,2,COUNTA(Management!$F$7:$F$36),1),10)/COUNTA(Management!$F$7:$F$36),"0%"),"")</f>
        <v>17%</v>
      </c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</row>
    <row r="10" spans="1:52" ht="18" customHeight="1" x14ac:dyDescent="0.45">
      <c r="A10" s="112"/>
      <c r="B10" s="222"/>
      <c r="C10" s="180"/>
      <c r="D10" s="180"/>
      <c r="E10" s="223"/>
      <c r="F10" s="207"/>
      <c r="G10" s="224"/>
      <c r="H10" s="181"/>
      <c r="I10" s="181"/>
      <c r="J10" s="225"/>
      <c r="K10" s="208"/>
      <c r="L10" s="226"/>
      <c r="M10" s="182"/>
      <c r="N10" s="182"/>
      <c r="O10" s="227"/>
      <c r="P10" s="209"/>
      <c r="Q10" s="228"/>
      <c r="R10" s="183"/>
      <c r="S10" s="183"/>
      <c r="T10" s="229"/>
      <c r="U10" s="112"/>
      <c r="V10" s="128" t="str">
        <f>IF(3&lt;=Management!$C$4,"R3","")</f>
        <v>R3</v>
      </c>
      <c r="W10" s="134">
        <f ca="1">IF(3&lt;=Management!$C$4,ROUND(AVERAGE(OFFSET(Dashboard!$B$2,0,3,COUNTA(Management!$F$7:$F$36),1)),1),"")</f>
        <v>6.4</v>
      </c>
      <c r="X10" s="135">
        <f ca="1">IF(3&lt;=Management!$C$4,MAX(OFFSET(Dashboard!$B$2,0,3,COUNTA(Management!$F$7:$F$36),1)),"")</f>
        <v>9</v>
      </c>
      <c r="Y10" s="136">
        <f ca="1">IF(3&lt;=Management!$C$4,MIN(OFFSET(Dashboard!$B$2,0,3,COUNTA(Management!$F$7:$F$36),1)),"")</f>
        <v>1</v>
      </c>
      <c r="Z10" s="184" t="str">
        <f ca="1">IF(3&lt;=Management!$C$4,REPT("█",ROUND(AVERAGE(OFFSET(Dashboard!$B$2,0,3,COUNTA(Management!$F$7:$F$36),1))*2,0)),"")</f>
        <v>█████████████</v>
      </c>
      <c r="AA10" s="137" t="str">
        <f ca="1">IF(3&lt;=Management!$C$4,TEXT(COUNTIF(OFFSET(Dashboard!$B$2,0,3,COUNTA(Management!$F$7:$F$36),1),10)/COUNTA(Management!$F$7:$F$36),"0%"),"")</f>
        <v>0%</v>
      </c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</row>
    <row r="11" spans="1:52" ht="18" customHeight="1" x14ac:dyDescent="0.45">
      <c r="A11" s="112"/>
      <c r="B11" s="115"/>
      <c r="C11" s="114"/>
      <c r="D11" s="114"/>
      <c r="E11" s="114"/>
      <c r="F11" s="114"/>
      <c r="G11" s="114"/>
      <c r="H11" s="114"/>
      <c r="I11" s="114"/>
      <c r="J11" s="116"/>
      <c r="K11" s="174"/>
      <c r="L11" s="115"/>
      <c r="M11" s="114"/>
      <c r="N11" s="114"/>
      <c r="O11" s="114"/>
      <c r="P11" s="114"/>
      <c r="Q11" s="114"/>
      <c r="R11" s="114"/>
      <c r="S11" s="114"/>
      <c r="T11" s="116"/>
      <c r="U11" s="112"/>
      <c r="V11" s="128" t="str">
        <f>IF(4&lt;=Management!$C$4,"R4","")</f>
        <v>R4</v>
      </c>
      <c r="W11" s="130">
        <f ca="1">IF(4&lt;=Management!$C$4,ROUND(AVERAGE(OFFSET(Dashboard!$B$2,0,4,COUNTA(Management!$F$7:$F$36),1)),1),"")</f>
        <v>9.5</v>
      </c>
      <c r="X11" s="131">
        <f ca="1">IF(4&lt;=Management!$C$4,MAX(OFFSET(Dashboard!$B$2,0,4,COUNTA(Management!$F$7:$F$36),1)),"")</f>
        <v>20</v>
      </c>
      <c r="Y11" s="132">
        <f ca="1">IF(4&lt;=Management!$C$4,MIN(OFFSET(Dashboard!$B$2,0,4,COUNTA(Management!$F$7:$F$36),1)),"")</f>
        <v>1</v>
      </c>
      <c r="Z11" s="185" t="str">
        <f ca="1">IF(4&lt;=Management!$C$4,REPT("█",ROUND(AVERAGE(OFFSET(Dashboard!$B$2,0,4,COUNTA(Management!$F$7:$F$36),1))*2,0)),"")</f>
        <v>███████████████████</v>
      </c>
      <c r="AA11" s="133" t="str">
        <f ca="1">IF(4&lt;=Management!$C$4,TEXT(COUNTIF(OFFSET(Dashboard!$B$2,0,4,COUNTA(Management!$F$7:$F$36),1),10)/COUNTA(Management!$F$7:$F$36),"0%"),"")</f>
        <v>10%</v>
      </c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</row>
    <row r="12" spans="1:52" ht="18" customHeight="1" x14ac:dyDescent="0.55000000000000004">
      <c r="A12" s="112"/>
      <c r="B12" s="166" t="s">
        <v>24</v>
      </c>
      <c r="C12" s="4"/>
      <c r="D12" s="4"/>
      <c r="E12" s="4"/>
      <c r="F12" s="4"/>
      <c r="G12" s="4"/>
      <c r="H12" s="4"/>
      <c r="I12" s="4"/>
      <c r="J12" s="120"/>
      <c r="K12" s="51"/>
      <c r="L12" s="166" t="s">
        <v>33</v>
      </c>
      <c r="M12" s="4"/>
      <c r="N12" s="4"/>
      <c r="O12" s="4"/>
      <c r="P12" s="4"/>
      <c r="Q12" s="4"/>
      <c r="R12" s="4"/>
      <c r="S12" s="4"/>
      <c r="T12" s="120"/>
      <c r="U12" s="112"/>
      <c r="V12" s="128" t="str">
        <f>IF(5&lt;=Management!$C$4,"R5","")</f>
        <v>R5</v>
      </c>
      <c r="W12" s="134">
        <f ca="1">IF(5&lt;=Management!$C$4,ROUND(AVERAGE(OFFSET(Dashboard!$B$2,0,5,COUNTA(Management!$F$7:$F$36),1)),1),"")</f>
        <v>5.6</v>
      </c>
      <c r="X12" s="135">
        <f ca="1">IF(5&lt;=Management!$C$4,MAX(OFFSET(Dashboard!$B$2,0,5,COUNTA(Management!$F$7:$F$36),1)),"")</f>
        <v>10</v>
      </c>
      <c r="Y12" s="136">
        <f ca="1">IF(5&lt;=Management!$C$4,MIN(OFFSET(Dashboard!$B$2,0,5,COUNTA(Management!$F$7:$F$36),1)),"")</f>
        <v>0</v>
      </c>
      <c r="Z12" s="184" t="str">
        <f ca="1">IF(5&lt;=Management!$C$4,REPT("█",ROUND(AVERAGE(OFFSET(Dashboard!$B$2,0,5,COUNTA(Management!$F$7:$F$36),1))*2,0)),"")</f>
        <v>███████████</v>
      </c>
      <c r="AA12" s="137" t="str">
        <f ca="1">IF(5&lt;=Management!$C$4,TEXT(COUNTIF(OFFSET(Dashboard!$B$2,0,5,COUNTA(Management!$F$7:$F$36),1),10)/COUNTA(Management!$F$7:$F$36),"0%"),"")</f>
        <v>10%</v>
      </c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</row>
    <row r="13" spans="1:52" ht="18" customHeight="1" x14ac:dyDescent="0.45">
      <c r="A13" s="112"/>
      <c r="B13" s="168" t="s">
        <v>25</v>
      </c>
      <c r="C13" s="4"/>
      <c r="D13" s="4"/>
      <c r="E13" s="4"/>
      <c r="F13" s="4"/>
      <c r="G13" s="4"/>
      <c r="H13" s="4"/>
      <c r="I13" s="169"/>
      <c r="J13" s="173" t="str">
        <f>MAX(Dashboard!C2:AF31)&amp;" pts"</f>
        <v>20 pts</v>
      </c>
      <c r="K13" s="51"/>
      <c r="L13" s="168" t="s">
        <v>34</v>
      </c>
      <c r="M13" s="4"/>
      <c r="N13" s="4"/>
      <c r="O13" s="4"/>
      <c r="P13" s="4"/>
      <c r="Q13" s="4"/>
      <c r="R13" s="169"/>
      <c r="S13" s="4"/>
      <c r="T13" s="173" t="str">
        <f>MAX(Dashboard!AG2:AG11)&amp;" pts"</f>
        <v>82 pts</v>
      </c>
      <c r="U13" s="112"/>
      <c r="V13" s="128" t="str">
        <f>IF(6&lt;=Management!$C$4,"R6","")</f>
        <v>R6</v>
      </c>
      <c r="W13" s="130">
        <f ca="1">IF(6&lt;=Management!$C$4,ROUND(AVERAGE(OFFSET(Dashboard!$B$2,0,6,COUNTA(Management!$F$7:$F$36),1)),1),"")</f>
        <v>3.9</v>
      </c>
      <c r="X13" s="131">
        <f ca="1">IF(6&lt;=Management!$C$4,MAX(OFFSET(Dashboard!$B$2,0,6,COUNTA(Management!$F$7:$F$36),1)),"")</f>
        <v>10</v>
      </c>
      <c r="Y13" s="132">
        <f ca="1">IF(6&lt;=Management!$C$4,MIN(OFFSET(Dashboard!$B$2,0,6,COUNTA(Management!$F$7:$F$36),1)),"")</f>
        <v>0</v>
      </c>
      <c r="Z13" s="185" t="str">
        <f ca="1">IF(6&lt;=Management!$C$4,REPT("█",ROUND(AVERAGE(OFFSET(Dashboard!$B$2,0,6,COUNTA(Management!$F$7:$F$36),1))*2,0)),"")</f>
        <v>████████</v>
      </c>
      <c r="AA13" s="133" t="str">
        <f ca="1">IF(6&lt;=Management!$C$4,TEXT(COUNTIF(OFFSET(Dashboard!$B$2,0,6,COUNTA(Management!$F$7:$F$36),1),10)/COUNTA(Management!$F$7:$F$36),"0%"),"")</f>
        <v>10%</v>
      </c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</row>
    <row r="14" spans="1:52" ht="18" customHeight="1" x14ac:dyDescent="0.45">
      <c r="A14" s="112"/>
      <c r="B14" s="171" t="s">
        <v>26</v>
      </c>
      <c r="C14" s="170"/>
      <c r="D14" s="170"/>
      <c r="E14" s="170"/>
      <c r="F14" s="170"/>
      <c r="G14" s="170"/>
      <c r="H14" s="170"/>
      <c r="I14" s="172"/>
      <c r="J14" s="175" t="str">
        <f>MIN(Dashboard!C2:AF31)&amp;" pts"</f>
        <v>0 pts</v>
      </c>
      <c r="K14" s="51"/>
      <c r="L14" s="171" t="s">
        <v>35</v>
      </c>
      <c r="M14" s="170"/>
      <c r="N14" s="170"/>
      <c r="O14" s="170"/>
      <c r="P14" s="170"/>
      <c r="Q14" s="170"/>
      <c r="R14" s="172"/>
      <c r="S14" s="170"/>
      <c r="T14" s="175" t="str">
        <f>MIN(Dashboard!AG2:AG11)&amp;" pts"</f>
        <v>46 pts</v>
      </c>
      <c r="U14" s="112"/>
      <c r="V14" s="128" t="str">
        <f>IF(7&lt;=Management!$C$4,"R7","")</f>
        <v>R7</v>
      </c>
      <c r="W14" s="134">
        <f ca="1">IF(7&lt;=Management!$C$4,ROUND(AVERAGE(OFFSET(Dashboard!$B$2,0,7,COUNTA(Management!$F$7:$F$36),1)),1),"")</f>
        <v>4.5999999999999996</v>
      </c>
      <c r="X14" s="135">
        <f ca="1">IF(7&lt;=Management!$C$4,MAX(OFFSET(Dashboard!$B$2,0,7,COUNTA(Management!$F$7:$F$36),1)),"")</f>
        <v>10</v>
      </c>
      <c r="Y14" s="136">
        <f ca="1">IF(7&lt;=Management!$C$4,MIN(OFFSET(Dashboard!$B$2,0,7,COUNTA(Management!$F$7:$F$36),1)),"")</f>
        <v>0</v>
      </c>
      <c r="Z14" s="184" t="str">
        <f ca="1">IF(7&lt;=Management!$C$4,REPT("█",ROUND(AVERAGE(OFFSET(Dashboard!$B$2,0,7,COUNTA(Management!$F$7:$F$36),1))*2,0)),"")</f>
        <v>█████████</v>
      </c>
      <c r="AA14" s="137" t="str">
        <f ca="1">IF(7&lt;=Management!$C$4,TEXT(COUNTIF(OFFSET(Dashboard!$B$2,0,7,COUNTA(Management!$F$7:$F$36),1),10)/COUNTA(Management!$F$7:$F$36),"0%"),"")</f>
        <v>10%</v>
      </c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</row>
    <row r="15" spans="1:52" ht="18" customHeight="1" x14ac:dyDescent="0.45">
      <c r="A15" s="112"/>
      <c r="B15" s="168" t="s">
        <v>27</v>
      </c>
      <c r="C15" s="4"/>
      <c r="D15" s="4"/>
      <c r="E15" s="4"/>
      <c r="F15" s="4"/>
      <c r="G15" s="4"/>
      <c r="H15" s="4"/>
      <c r="I15" s="169"/>
      <c r="J15" s="173" t="str">
        <f>ROUND(MEDIAN(Dashboard!C2:AF31),1)&amp;" pts"</f>
        <v>5 pts</v>
      </c>
      <c r="K15" s="51"/>
      <c r="L15" s="168" t="s">
        <v>36</v>
      </c>
      <c r="M15" s="4"/>
      <c r="N15" s="4"/>
      <c r="O15" s="4"/>
      <c r="P15" s="4"/>
      <c r="Q15" s="4"/>
      <c r="R15" s="169"/>
      <c r="S15" s="4"/>
      <c r="T15" s="173" t="str">
        <f>ROUND(AVERAGE(Dashboard!AG2:AG11),1)&amp;" pts"</f>
        <v>69,3 pts</v>
      </c>
      <c r="U15" s="112"/>
      <c r="V15" s="128" t="str">
        <f>IF(8&lt;=Management!$C$4,"R8","")</f>
        <v>R8</v>
      </c>
      <c r="W15" s="130">
        <f ca="1">IF(8&lt;=Management!$C$4,ROUND(AVERAGE(OFFSET(Dashboard!$B$2,0,8,COUNTA(Management!$F$7:$F$36),1)),1),"")</f>
        <v>7.9</v>
      </c>
      <c r="X15" s="131">
        <f ca="1">IF(8&lt;=Management!$C$4,MAX(OFFSET(Dashboard!$B$2,0,8,COUNTA(Management!$F$7:$F$36),1)),"")</f>
        <v>15</v>
      </c>
      <c r="Y15" s="132">
        <f ca="1">IF(8&lt;=Management!$C$4,MIN(OFFSET(Dashboard!$B$2,0,8,COUNTA(Management!$F$7:$F$36),1)),"")</f>
        <v>3</v>
      </c>
      <c r="Z15" s="185" t="str">
        <f ca="1">IF(8&lt;=Management!$C$4,REPT("█",ROUND(AVERAGE(OFFSET(Dashboard!$B$2,0,8,COUNTA(Management!$F$7:$F$36),1))*2,0)),"")</f>
        <v>████████████████</v>
      </c>
      <c r="AA15" s="133" t="str">
        <f ca="1">IF(8&lt;=Management!$C$4,TEXT(COUNTIF(OFFSET(Dashboard!$B$2,0,8,COUNTA(Management!$F$7:$F$36),1),10)/COUNTA(Management!$F$7:$F$36),"0%"),"")</f>
        <v>0%</v>
      </c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</row>
    <row r="16" spans="1:52" ht="18" customHeight="1" x14ac:dyDescent="0.45">
      <c r="A16" s="112"/>
      <c r="B16" s="171" t="s">
        <v>28</v>
      </c>
      <c r="C16" s="170"/>
      <c r="D16" s="170"/>
      <c r="E16" s="170"/>
      <c r="F16" s="170"/>
      <c r="G16" s="170"/>
      <c r="H16" s="170"/>
      <c r="I16" s="172"/>
      <c r="J16" s="175">
        <f>ROUND(STDEV(Dashboard!C2:AF31),2)</f>
        <v>3.49</v>
      </c>
      <c r="K16" s="51"/>
      <c r="L16" s="171" t="s">
        <v>37</v>
      </c>
      <c r="M16" s="170"/>
      <c r="N16" s="170"/>
      <c r="O16" s="170"/>
      <c r="P16" s="170"/>
      <c r="Q16" s="170"/>
      <c r="R16" s="172"/>
      <c r="S16" s="170"/>
      <c r="T16" s="175" t="str">
        <f>(MAX(Dashboard!AG2:AG11)-MIN(Dashboard!AG2:AG11))&amp;" pts"</f>
        <v>36 pts</v>
      </c>
      <c r="U16" s="112"/>
      <c r="V16" s="128" t="str">
        <f>IF(9&lt;=Management!$C$4,"R9","")</f>
        <v>R9</v>
      </c>
      <c r="W16" s="134">
        <f ca="1">IF(9&lt;=Management!$C$4,ROUND(AVERAGE(OFFSET(Dashboard!$B$2,0,9,COUNTA(Management!$F$7:$F$36),1)),1),"")</f>
        <v>4.7</v>
      </c>
      <c r="X16" s="135">
        <f ca="1">IF(9&lt;=Management!$C$4,MAX(OFFSET(Dashboard!$B$2,0,9,COUNTA(Management!$F$7:$F$36),1)),"")</f>
        <v>9</v>
      </c>
      <c r="Y16" s="136">
        <f ca="1">IF(9&lt;=Management!$C$4,MIN(OFFSET(Dashboard!$B$2,0,9,COUNTA(Management!$F$7:$F$36),1)),"")</f>
        <v>0</v>
      </c>
      <c r="Z16" s="184" t="str">
        <f ca="1">IF(9&lt;=Management!$C$4,REPT("█",ROUND(AVERAGE(OFFSET(Dashboard!$B$2,0,9,COUNTA(Management!$F$7:$F$36),1))*2,0)),"")</f>
        <v>█████████</v>
      </c>
      <c r="AA16" s="137" t="str">
        <f ca="1">IF(9&lt;=Management!$C$4,TEXT(COUNTIF(OFFSET(Dashboard!$B$2,0,9,COUNTA(Management!$F$7:$F$36),1),10)/COUNTA(Management!$F$7:$F$36),"0%"),"")</f>
        <v>0%</v>
      </c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</row>
    <row r="17" spans="1:52" ht="18" customHeight="1" x14ac:dyDescent="0.45">
      <c r="A17" s="112"/>
      <c r="B17" s="168" t="s">
        <v>29</v>
      </c>
      <c r="C17" s="4"/>
      <c r="D17" s="4"/>
      <c r="E17" s="4"/>
      <c r="F17" s="4"/>
      <c r="G17" s="4"/>
      <c r="H17" s="4"/>
      <c r="I17" s="169"/>
      <c r="J17" s="173">
        <f>COUNTIF(Dashboard!C2:AF31,10)</f>
        <v>18</v>
      </c>
      <c r="K17" s="51"/>
      <c r="L17" s="168" t="s">
        <v>38</v>
      </c>
      <c r="M17" s="4"/>
      <c r="N17" s="4"/>
      <c r="O17" s="4"/>
      <c r="P17" s="4"/>
      <c r="Q17" s="4"/>
      <c r="R17" s="169"/>
      <c r="S17" s="4"/>
      <c r="T17" s="173">
        <f>ROUND(STDEV(Dashboard!AG2:AG11),2)</f>
        <v>13</v>
      </c>
      <c r="U17" s="112"/>
      <c r="V17" s="128" t="str">
        <f>IF(10&lt;=Management!$C$4,"R10","")</f>
        <v>R10</v>
      </c>
      <c r="W17" s="130">
        <f ca="1">IF(10&lt;=Management!$C$4,ROUND(AVERAGE(OFFSET(Dashboard!$B$2,0,10,COUNTA(Management!$F$7:$F$36),1)),1),"")</f>
        <v>4.2</v>
      </c>
      <c r="X17" s="131">
        <f ca="1">IF(10&lt;=Management!$C$4,MAX(OFFSET(Dashboard!$B$2,0,10,COUNTA(Management!$F$7:$F$36),1)),"")</f>
        <v>9</v>
      </c>
      <c r="Y17" s="132">
        <f ca="1">IF(10&lt;=Management!$C$4,MIN(OFFSET(Dashboard!$B$2,0,10,COUNTA(Management!$F$7:$F$36),1)),"")</f>
        <v>0</v>
      </c>
      <c r="Z17" s="185" t="str">
        <f ca="1">IF(10&lt;=Management!$C$4,REPT("█",ROUND(AVERAGE(OFFSET(Dashboard!$B$2,0,10,COUNTA(Management!$F$7:$F$36),1))*2,0)),"")</f>
        <v>████████</v>
      </c>
      <c r="AA17" s="133" t="str">
        <f ca="1">IF(10&lt;=Management!$C$4,TEXT(COUNTIF(OFFSET(Dashboard!$B$2,0,10,COUNTA(Management!$F$7:$F$36),1),10)/COUNTA(Management!$F$7:$F$36),"0%"),"")</f>
        <v>0%</v>
      </c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</row>
    <row r="18" spans="1:52" ht="18" customHeight="1" x14ac:dyDescent="0.45">
      <c r="A18" s="112"/>
      <c r="B18" s="171" t="s">
        <v>30</v>
      </c>
      <c r="C18" s="170"/>
      <c r="D18" s="170"/>
      <c r="E18" s="170"/>
      <c r="F18" s="170"/>
      <c r="G18" s="170"/>
      <c r="H18" s="170"/>
      <c r="I18" s="172"/>
      <c r="J18" s="175">
        <f>COUNTIF(Dashboard!C2:AF31,0)</f>
        <v>31</v>
      </c>
      <c r="K18" s="51"/>
      <c r="L18" s="171" t="s">
        <v>39</v>
      </c>
      <c r="M18" s="170"/>
      <c r="N18" s="170"/>
      <c r="O18" s="170"/>
      <c r="P18" s="170"/>
      <c r="Q18" s="170"/>
      <c r="R18" s="172"/>
      <c r="S18" s="170"/>
      <c r="T18" s="175">
        <f>COUNTIF(Dashboard!AG2:AG11,"&gt;"&amp;AVERAGE(Dashboard!AG2:AG11))</f>
        <v>6</v>
      </c>
      <c r="U18" s="112"/>
      <c r="V18" s="128" t="str">
        <f>IF(11&lt;=Management!$C$4,"R11","")</f>
        <v>R11</v>
      </c>
      <c r="W18" s="134">
        <f ca="1">IF(11&lt;=Management!$C$4,ROUND(AVERAGE(OFFSET(Dashboard!$B$2,0,11,COUNTA(Management!$F$7:$F$36),1)),1),"")</f>
        <v>0.9</v>
      </c>
      <c r="X18" s="135">
        <f ca="1">IF(11&lt;=Management!$C$4,MAX(OFFSET(Dashboard!$B$2,0,11,COUNTA(Management!$F$7:$F$36),1)),"")</f>
        <v>5</v>
      </c>
      <c r="Y18" s="136">
        <f ca="1">IF(11&lt;=Management!$C$4,MIN(OFFSET(Dashboard!$B$2,0,11,COUNTA(Management!$F$7:$F$36),1)),"")</f>
        <v>0</v>
      </c>
      <c r="Z18" s="184" t="str">
        <f ca="1">IF(11&lt;=Management!$C$4,REPT("█",ROUND(AVERAGE(OFFSET(Dashboard!$B$2,0,11,COUNTA(Management!$F$7:$F$36),1))*2,0)),"")</f>
        <v>██</v>
      </c>
      <c r="AA18" s="137" t="str">
        <f ca="1">IF(11&lt;=Management!$C$4,TEXT(COUNTIF(OFFSET(Dashboard!$B$2,0,11,COUNTA(Management!$F$7:$F$36),1),10)/COUNTA(Management!$F$7:$F$36),"0%"),"")</f>
        <v>0%</v>
      </c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</row>
    <row r="19" spans="1:52" ht="18" customHeight="1" x14ac:dyDescent="0.45">
      <c r="A19" s="112"/>
      <c r="B19" s="168" t="s">
        <v>31</v>
      </c>
      <c r="C19" s="4"/>
      <c r="D19" s="4"/>
      <c r="E19" s="4"/>
      <c r="F19" s="4"/>
      <c r="G19" s="4"/>
      <c r="H19" s="4"/>
      <c r="I19" s="169"/>
      <c r="J19" s="173">
        <f>COUNTIF(Dashboard!C2:AF31,"&gt;=8")</f>
        <v>94</v>
      </c>
      <c r="K19" s="51"/>
      <c r="L19" s="168" t="s">
        <v>40</v>
      </c>
      <c r="M19" s="4"/>
      <c r="N19" s="4"/>
      <c r="O19" s="4"/>
      <c r="P19" s="4"/>
      <c r="Q19" s="4"/>
      <c r="R19" s="169"/>
      <c r="S19" s="4"/>
      <c r="T19" s="173" t="str">
        <f>TEXT(MAX(Dashboard!AG2:AG11)/MAX(Dashboard!AH2:AH11),"0.0%")</f>
        <v>59%</v>
      </c>
      <c r="U19" s="112"/>
      <c r="V19" s="128" t="str">
        <f>IF(12&lt;=Management!$C$4,"R12","")</f>
        <v>R12</v>
      </c>
      <c r="W19" s="130">
        <f ca="1">IF(12&lt;=Management!$C$4,ROUND(AVERAGE(OFFSET(Dashboard!$B$2,0,12,COUNTA(Management!$F$7:$F$36),1)),1),"")</f>
        <v>4.3</v>
      </c>
      <c r="X19" s="131">
        <f ca="1">IF(12&lt;=Management!$C$4,MAX(OFFSET(Dashboard!$B$2,0,12,COUNTA(Management!$F$7:$F$36),1)),"")</f>
        <v>9</v>
      </c>
      <c r="Y19" s="132">
        <f ca="1">IF(12&lt;=Management!$C$4,MIN(OFFSET(Dashboard!$B$2,0,12,COUNTA(Management!$F$7:$F$36),1)),"")</f>
        <v>0</v>
      </c>
      <c r="Z19" s="185" t="str">
        <f ca="1">IF(12&lt;=Management!$C$4,REPT("█",ROUND(AVERAGE(OFFSET(Dashboard!$B$2,0,12,COUNTA(Management!$F$7:$F$36),1))*2,0)),"")</f>
        <v>█████████</v>
      </c>
      <c r="AA19" s="133" t="str">
        <f ca="1">IF(12&lt;=Management!$C$4,TEXT(COUNTIF(OFFSET(Dashboard!$B$2,0,12,COUNTA(Management!$F$7:$F$36),1),10)/COUNTA(Management!$F$7:$F$36),"0%"),"")</f>
        <v>0%</v>
      </c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</row>
    <row r="20" spans="1:52" ht="18" customHeight="1" x14ac:dyDescent="0.45">
      <c r="A20" s="112"/>
      <c r="B20" s="171" t="s">
        <v>32</v>
      </c>
      <c r="C20" s="170"/>
      <c r="D20" s="170"/>
      <c r="E20" s="170"/>
      <c r="F20" s="170"/>
      <c r="G20" s="170"/>
      <c r="H20" s="170"/>
      <c r="I20" s="172"/>
      <c r="J20" s="175">
        <f>COUNTIF(Dashboard!C2:AF31,"&lt;=3")</f>
        <v>109</v>
      </c>
      <c r="K20" s="51"/>
      <c r="L20" s="171" t="s">
        <v>41</v>
      </c>
      <c r="M20" s="170"/>
      <c r="N20" s="170"/>
      <c r="O20" s="170"/>
      <c r="P20" s="170"/>
      <c r="Q20" s="170"/>
      <c r="R20" s="172"/>
      <c r="S20" s="170"/>
      <c r="T20" s="175" t="str">
        <f>TEXT(AVERAGE(Dashboard!AG2:AG11)/MAX(Dashboard!AH2:AH11),"0.0%")</f>
        <v>50%</v>
      </c>
      <c r="U20" s="112"/>
      <c r="V20" s="128" t="str">
        <f>IF(13&lt;=Management!$C$4,"R13","")</f>
        <v>R13</v>
      </c>
      <c r="W20" s="134">
        <f ca="1">IF(13&lt;=Management!$C$4,ROUND(AVERAGE(OFFSET(Dashboard!$B$2,0,13,COUNTA(Management!$F$7:$F$36),1)),1),"")</f>
        <v>4.7</v>
      </c>
      <c r="X20" s="135">
        <f ca="1">IF(13&lt;=Management!$C$4,MAX(OFFSET(Dashboard!$B$2,0,13,COUNTA(Management!$F$7:$F$36),1)),"")</f>
        <v>10</v>
      </c>
      <c r="Y20" s="136">
        <f ca="1">IF(13&lt;=Management!$C$4,MIN(OFFSET(Dashboard!$B$2,0,13,COUNTA(Management!$F$7:$F$36),1)),"")</f>
        <v>1</v>
      </c>
      <c r="Z20" s="184" t="str">
        <f ca="1">IF(13&lt;=Management!$C$4,REPT("█",ROUND(AVERAGE(OFFSET(Dashboard!$B$2,0,13,COUNTA(Management!$F$7:$F$36),1))*2,0)),"")</f>
        <v>█████████</v>
      </c>
      <c r="AA20" s="137" t="str">
        <f ca="1">IF(13&lt;=Management!$C$4,TEXT(COUNTIF(OFFSET(Dashboard!$B$2,0,13,COUNTA(Management!$F$7:$F$36),1),10)/COUNTA(Management!$F$7:$F$36),"0%"),"")</f>
        <v>3%</v>
      </c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</row>
    <row r="21" spans="1:52" ht="18" customHeight="1" x14ac:dyDescent="0.45">
      <c r="A21" s="112"/>
      <c r="B21" s="167"/>
      <c r="C21" s="119"/>
      <c r="D21" s="119"/>
      <c r="E21" s="119"/>
      <c r="F21" s="119"/>
      <c r="G21" s="119"/>
      <c r="H21" s="119"/>
      <c r="I21" s="119"/>
      <c r="J21" s="121"/>
      <c r="K21" s="51"/>
      <c r="L21" s="167"/>
      <c r="M21" s="119"/>
      <c r="N21" s="119"/>
      <c r="O21" s="119"/>
      <c r="P21" s="119"/>
      <c r="Q21" s="119"/>
      <c r="R21" s="119"/>
      <c r="S21" s="119"/>
      <c r="T21" s="121"/>
      <c r="U21" s="112"/>
      <c r="V21" s="128" t="str">
        <f>IF(14&lt;=Management!$C$4,"R14","")</f>
        <v/>
      </c>
      <c r="W21" s="130" t="str">
        <f ca="1">IF(14&lt;=Management!$C$4,ROUND(AVERAGE(OFFSET(Dashboard!$B$2,0,14,COUNTA(Management!$F$7:$F$36),1)),1),"")</f>
        <v/>
      </c>
      <c r="X21" s="131" t="str">
        <f ca="1">IF(14&lt;=Management!$C$4,MAX(OFFSET(Dashboard!$B$2,0,14,COUNTA(Management!$F$7:$F$36),1)),"")</f>
        <v/>
      </c>
      <c r="Y21" s="132" t="str">
        <f ca="1">IF(14&lt;=Management!$C$4,MIN(OFFSET(Dashboard!$B$2,0,14,COUNTA(Management!$F$7:$F$36),1)),"")</f>
        <v/>
      </c>
      <c r="Z21" s="185" t="str">
        <f ca="1">IF(14&lt;=Management!$C$4,REPT("█",ROUND(AVERAGE(OFFSET(Dashboard!$B$2,0,14,COUNTA(Management!$F$7:$F$36),1))*2,0)),"")</f>
        <v/>
      </c>
      <c r="AA21" s="133" t="str">
        <f ca="1">IF(14&lt;=Management!$C$4,TEXT(COUNTIF(OFFSET(Dashboard!$B$2,0,14,COUNTA(Management!$F$7:$F$36),1),10)/COUNTA(Management!$F$7:$F$36),"0%"),"")</f>
        <v/>
      </c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</row>
    <row r="22" spans="1:52" ht="18" customHeight="1" x14ac:dyDescent="0.45">
      <c r="A22" s="112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112"/>
      <c r="V22" s="128" t="str">
        <f>IF(15&lt;=Management!$C$4,"R15","")</f>
        <v/>
      </c>
      <c r="W22" s="134" t="str">
        <f ca="1">IF(15&lt;=Management!$C$4,ROUND(AVERAGE(OFFSET(Dashboard!$B$2,0,15,COUNTA(Management!$F$7:$F$36),1)),1),"")</f>
        <v/>
      </c>
      <c r="X22" s="135" t="str">
        <f ca="1">IF(15&lt;=Management!$C$4,MAX(OFFSET(Dashboard!$B$2,0,15,COUNTA(Management!$F$7:$F$36),1)),"")</f>
        <v/>
      </c>
      <c r="Y22" s="136" t="str">
        <f ca="1">IF(15&lt;=Management!$C$4,MIN(OFFSET(Dashboard!$B$2,0,15,COUNTA(Management!$F$7:$F$36),1)),"")</f>
        <v/>
      </c>
      <c r="Z22" s="184" t="str">
        <f ca="1">IF(15&lt;=Management!$C$4,REPT("█",ROUND(AVERAGE(OFFSET(Dashboard!$B$2,0,15,COUNTA(Management!$F$7:$F$36),1))*2,0)),"")</f>
        <v/>
      </c>
      <c r="AA22" s="137" t="str">
        <f ca="1">IF(15&lt;=Management!$C$4,TEXT(COUNTIF(OFFSET(Dashboard!$B$2,0,15,COUNTA(Management!$F$7:$F$36),1),10)/COUNTA(Management!$F$7:$F$36),"0%"),"")</f>
        <v/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</row>
    <row r="23" spans="1:52" ht="18" customHeight="1" x14ac:dyDescent="0.45">
      <c r="A23" s="112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112"/>
      <c r="V23" s="128" t="str">
        <f>IF(16&lt;=Management!$C$4,"R16","")</f>
        <v/>
      </c>
      <c r="W23" s="130" t="str">
        <f ca="1">IF(16&lt;=Management!$C$4,ROUND(AVERAGE(OFFSET(Dashboard!$B$2,0,16,COUNTA(Management!$F$7:$F$36),1)),1),"")</f>
        <v/>
      </c>
      <c r="X23" s="131" t="str">
        <f ca="1">IF(16&lt;=Management!$C$4,MAX(OFFSET(Dashboard!$B$2,0,16,COUNTA(Management!$F$7:$F$36),1)),"")</f>
        <v/>
      </c>
      <c r="Y23" s="132" t="str">
        <f ca="1">IF(16&lt;=Management!$C$4,MIN(OFFSET(Dashboard!$B$2,0,16,COUNTA(Management!$F$7:$F$36),1)),"")</f>
        <v/>
      </c>
      <c r="Z23" s="185" t="str">
        <f ca="1">IF(16&lt;=Management!$C$4,REPT("█",ROUND(AVERAGE(OFFSET(Dashboard!$B$2,0,16,COUNTA(Management!$F$7:$F$36),1))*2,0)),"")</f>
        <v/>
      </c>
      <c r="AA23" s="133" t="str">
        <f ca="1">IF(16&lt;=Management!$C$4,TEXT(COUNTIF(OFFSET(Dashboard!$B$2,0,16,COUNTA(Management!$F$7:$F$36),1),10)/COUNTA(Management!$F$7:$F$36),"0%"),"")</f>
        <v/>
      </c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</row>
    <row r="24" spans="1:52" ht="18" customHeight="1" x14ac:dyDescent="0.45">
      <c r="A24" s="112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112"/>
      <c r="V24" s="128" t="str">
        <f>IF(17&lt;=Management!$C$4,"R17","")</f>
        <v/>
      </c>
      <c r="W24" s="134" t="str">
        <f ca="1">IF(17&lt;=Management!$C$4,ROUND(AVERAGE(OFFSET(Dashboard!$B$2,0,17,COUNTA(Management!$F$7:$F$36),1)),1),"")</f>
        <v/>
      </c>
      <c r="X24" s="135" t="str">
        <f ca="1">IF(17&lt;=Management!$C$4,MAX(OFFSET(Dashboard!$B$2,0,17,COUNTA(Management!$F$7:$F$36),1)),"")</f>
        <v/>
      </c>
      <c r="Y24" s="136" t="str">
        <f ca="1">IF(17&lt;=Management!$C$4,MIN(OFFSET(Dashboard!$B$2,0,17,COUNTA(Management!$F$7:$F$36),1)),"")</f>
        <v/>
      </c>
      <c r="Z24" s="184" t="str">
        <f ca="1">IF(17&lt;=Management!$C$4,REPT("█",ROUND(AVERAGE(OFFSET(Dashboard!$B$2,0,17,COUNTA(Management!$F$7:$F$36),1))*2,0)),"")</f>
        <v/>
      </c>
      <c r="AA24" s="137" t="str">
        <f ca="1">IF(17&lt;=Management!$C$4,TEXT(COUNTIF(OFFSET(Dashboard!$B$2,0,17,COUNTA(Management!$F$7:$F$36),1),10)/COUNTA(Management!$F$7:$F$36),"0%"),"")</f>
        <v/>
      </c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</row>
    <row r="25" spans="1:52" ht="18" customHeight="1" x14ac:dyDescent="0.45">
      <c r="A25" s="112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112"/>
      <c r="V25" s="128" t="str">
        <f>IF(18&lt;=Management!$C$4,"R18","")</f>
        <v/>
      </c>
      <c r="W25" s="130" t="str">
        <f ca="1">IF(18&lt;=Management!$C$4,ROUND(AVERAGE(OFFSET(Dashboard!$B$2,0,18,COUNTA(Management!$F$7:$F$36),1)),1),"")</f>
        <v/>
      </c>
      <c r="X25" s="131" t="str">
        <f ca="1">IF(18&lt;=Management!$C$4,MAX(OFFSET(Dashboard!$B$2,0,18,COUNTA(Management!$F$7:$F$36),1)),"")</f>
        <v/>
      </c>
      <c r="Y25" s="132" t="str">
        <f ca="1">IF(18&lt;=Management!$C$4,MIN(OFFSET(Dashboard!$B$2,0,18,COUNTA(Management!$F$7:$F$36),1)),"")</f>
        <v/>
      </c>
      <c r="Z25" s="185" t="str">
        <f ca="1">IF(18&lt;=Management!$C$4,REPT("█",ROUND(AVERAGE(OFFSET(Dashboard!$B$2,0,18,COUNTA(Management!$F$7:$F$36),1))*2,0)),"")</f>
        <v/>
      </c>
      <c r="AA25" s="133" t="str">
        <f ca="1">IF(18&lt;=Management!$C$4,TEXT(COUNTIF(OFFSET(Dashboard!$B$2,0,18,COUNTA(Management!$F$7:$F$36),1),10)/COUNTA(Management!$F$7:$F$36),"0%"),"")</f>
        <v/>
      </c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</row>
    <row r="26" spans="1:52" ht="18" customHeight="1" x14ac:dyDescent="0.45">
      <c r="A26" s="112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112"/>
      <c r="V26" s="128" t="str">
        <f>IF(19&lt;=Management!$C$4,"R19","")</f>
        <v/>
      </c>
      <c r="W26" s="134" t="str">
        <f ca="1">IF(19&lt;=Management!$C$4,ROUND(AVERAGE(OFFSET(Dashboard!$B$2,0,19,COUNTA(Management!$F$7:$F$36),1)),1),"")</f>
        <v/>
      </c>
      <c r="X26" s="135" t="str">
        <f ca="1">IF(19&lt;=Management!$C$4,MAX(OFFSET(Dashboard!$B$2,0,19,COUNTA(Management!$F$7:$F$36),1)),"")</f>
        <v/>
      </c>
      <c r="Y26" s="136" t="str">
        <f ca="1">IF(19&lt;=Management!$C$4,MIN(OFFSET(Dashboard!$B$2,0,19,COUNTA(Management!$F$7:$F$36),1)),"")</f>
        <v/>
      </c>
      <c r="Z26" s="184" t="str">
        <f ca="1">IF(19&lt;=Management!$C$4,REPT("█",ROUND(AVERAGE(OFFSET(Dashboard!$B$2,0,19,COUNTA(Management!$F$7:$F$36),1))*2,0)),"")</f>
        <v/>
      </c>
      <c r="AA26" s="137" t="str">
        <f ca="1">IF(19&lt;=Management!$C$4,TEXT(COUNTIF(OFFSET(Dashboard!$B$2,0,19,COUNTA(Management!$F$7:$F$36),1),10)/COUNTA(Management!$F$7:$F$36),"0%"),"")</f>
        <v/>
      </c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</row>
    <row r="27" spans="1:52" ht="18" customHeight="1" x14ac:dyDescent="0.45">
      <c r="A27" s="112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112"/>
      <c r="V27" s="128" t="str">
        <f>IF(20&lt;=Management!$C$4,"R20","")</f>
        <v/>
      </c>
      <c r="W27" s="130" t="str">
        <f ca="1">IF(20&lt;=Management!$C$4,ROUND(AVERAGE(OFFSET(Dashboard!$B$2,0,20,COUNTA(Management!$F$7:$F$36),1)),1),"")</f>
        <v/>
      </c>
      <c r="X27" s="131" t="str">
        <f ca="1">IF(20&lt;=Management!$C$4,MAX(OFFSET(Dashboard!$B$2,0,20,COUNTA(Management!$F$7:$F$36),1)),"")</f>
        <v/>
      </c>
      <c r="Y27" s="132" t="str">
        <f ca="1">IF(20&lt;=Management!$C$4,MIN(OFFSET(Dashboard!$B$2,0,20,COUNTA(Management!$F$7:$F$36),1)),"")</f>
        <v/>
      </c>
      <c r="Z27" s="185" t="str">
        <f ca="1">IF(20&lt;=Management!$C$4,REPT("█",ROUND(AVERAGE(OFFSET(Dashboard!$B$2,0,20,COUNTA(Management!$F$7:$F$36),1))*2,0)),"")</f>
        <v/>
      </c>
      <c r="AA27" s="133" t="str">
        <f ca="1">IF(20&lt;=Management!$C$4,TEXT(COUNTIF(OFFSET(Dashboard!$B$2,0,20,COUNTA(Management!$F$7:$F$36),1),10)/COUNTA(Management!$F$7:$F$36),"0%"),"")</f>
        <v/>
      </c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</row>
    <row r="28" spans="1:52" ht="18" customHeight="1" x14ac:dyDescent="0.45">
      <c r="A28" s="112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112"/>
      <c r="V28" s="128" t="str">
        <f>IF(21&lt;=Management!$C$4,"R21","")</f>
        <v/>
      </c>
      <c r="W28" s="134" t="str">
        <f ca="1">IF(21&lt;=Management!$C$4,ROUND(AVERAGE(OFFSET(Dashboard!$B$2,0,21,COUNTA(Management!$F$7:$F$36),1)),1),"")</f>
        <v/>
      </c>
      <c r="X28" s="135" t="str">
        <f ca="1">IF(21&lt;=Management!$C$4,MAX(OFFSET(Dashboard!$B$2,0,21,COUNTA(Management!$F$7:$F$36),1)),"")</f>
        <v/>
      </c>
      <c r="Y28" s="136" t="str">
        <f ca="1">IF(21&lt;=Management!$C$4,MIN(OFFSET(Dashboard!$B$2,0,21,COUNTA(Management!$F$7:$F$36),1)),"")</f>
        <v/>
      </c>
      <c r="Z28" s="184" t="str">
        <f ca="1">IF(21&lt;=Management!$C$4,REPT("█",ROUND(AVERAGE(OFFSET(Dashboard!$B$2,0,21,COUNTA(Management!$F$7:$F$36),1))*2,0)),"")</f>
        <v/>
      </c>
      <c r="AA28" s="137" t="str">
        <f ca="1">IF(21&lt;=Management!$C$4,TEXT(COUNTIF(OFFSET(Dashboard!$B$2,0,21,COUNTA(Management!$F$7:$F$36),1),10)/COUNTA(Management!$F$7:$F$36),"0%"),"")</f>
        <v/>
      </c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</row>
    <row r="29" spans="1:52" ht="18" customHeight="1" x14ac:dyDescent="0.45">
      <c r="A29" s="112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112"/>
      <c r="V29" s="128" t="str">
        <f>IF(22&lt;=Management!$C$4,"R22","")</f>
        <v/>
      </c>
      <c r="W29" s="130" t="str">
        <f ca="1">IF(22&lt;=Management!$C$4,ROUND(AVERAGE(OFFSET(Dashboard!$B$2,0,22,COUNTA(Management!$F$7:$F$36),1)),1),"")</f>
        <v/>
      </c>
      <c r="X29" s="131" t="str">
        <f ca="1">IF(22&lt;=Management!$C$4,MAX(OFFSET(Dashboard!$B$2,0,22,COUNTA(Management!$F$7:$F$36),1)),"")</f>
        <v/>
      </c>
      <c r="Y29" s="132" t="str">
        <f ca="1">IF(22&lt;=Management!$C$4,MIN(OFFSET(Dashboard!$B$2,0,22,COUNTA(Management!$F$7:$F$36),1)),"")</f>
        <v/>
      </c>
      <c r="Z29" s="185" t="str">
        <f ca="1">IF(22&lt;=Management!$C$4,REPT("█",ROUND(AVERAGE(OFFSET(Dashboard!$B$2,0,22,COUNTA(Management!$F$7:$F$36),1))*2,0)),"")</f>
        <v/>
      </c>
      <c r="AA29" s="133" t="str">
        <f ca="1">IF(22&lt;=Management!$C$4,TEXT(COUNTIF(OFFSET(Dashboard!$B$2,0,22,COUNTA(Management!$F$7:$F$36),1),10)/COUNTA(Management!$F$7:$F$36),"0%"),"")</f>
        <v/>
      </c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</row>
    <row r="30" spans="1:52" ht="18" customHeight="1" x14ac:dyDescent="0.45">
      <c r="A30" s="112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112"/>
      <c r="V30" s="128" t="str">
        <f>IF(23&lt;=Management!$C$4,"R23","")</f>
        <v/>
      </c>
      <c r="W30" s="134" t="str">
        <f ca="1">IF(23&lt;=Management!$C$4,ROUND(AVERAGE(OFFSET(Dashboard!$B$2,0,23,COUNTA(Management!$F$7:$F$36),1)),1),"")</f>
        <v/>
      </c>
      <c r="X30" s="135" t="str">
        <f ca="1">IF(23&lt;=Management!$C$4,MAX(OFFSET(Dashboard!$B$2,0,23,COUNTA(Management!$F$7:$F$36),1)),"")</f>
        <v/>
      </c>
      <c r="Y30" s="136" t="str">
        <f ca="1">IF(23&lt;=Management!$C$4,MIN(OFFSET(Dashboard!$B$2,0,23,COUNTA(Management!$F$7:$F$36),1)),"")</f>
        <v/>
      </c>
      <c r="Z30" s="184" t="str">
        <f ca="1">IF(23&lt;=Management!$C$4,REPT("█",ROUND(AVERAGE(OFFSET(Dashboard!$B$2,0,23,COUNTA(Management!$F$7:$F$36),1))*2,0)),"")</f>
        <v/>
      </c>
      <c r="AA30" s="137" t="str">
        <f ca="1">IF(23&lt;=Management!$C$4,TEXT(COUNTIF(OFFSET(Dashboard!$B$2,0,23,COUNTA(Management!$F$7:$F$36),1),10)/COUNTA(Management!$F$7:$F$36),"0%"),"")</f>
        <v/>
      </c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</row>
    <row r="31" spans="1:52" ht="18" customHeight="1" x14ac:dyDescent="0.45">
      <c r="A31" s="112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112"/>
      <c r="V31" s="128" t="str">
        <f>IF(24&lt;=Management!$C$4,"R24","")</f>
        <v/>
      </c>
      <c r="W31" s="130" t="str">
        <f ca="1">IF(24&lt;=Management!$C$4,ROUND(AVERAGE(OFFSET(Dashboard!$B$2,0,24,COUNTA(Management!$F$7:$F$36),1)),1),"")</f>
        <v/>
      </c>
      <c r="X31" s="131" t="str">
        <f ca="1">IF(24&lt;=Management!$C$4,MAX(OFFSET(Dashboard!$B$2,0,24,COUNTA(Management!$F$7:$F$36),1)),"")</f>
        <v/>
      </c>
      <c r="Y31" s="132" t="str">
        <f ca="1">IF(24&lt;=Management!$C$4,MIN(OFFSET(Dashboard!$B$2,0,24,COUNTA(Management!$F$7:$F$36),1)),"")</f>
        <v/>
      </c>
      <c r="Z31" s="185" t="str">
        <f ca="1">IF(24&lt;=Management!$C$4,REPT("█",ROUND(AVERAGE(OFFSET(Dashboard!$B$2,0,24,COUNTA(Management!$F$7:$F$36),1))*2,0)),"")</f>
        <v/>
      </c>
      <c r="AA31" s="133" t="str">
        <f ca="1">IF(24&lt;=Management!$C$4,TEXT(COUNTIF(OFFSET(Dashboard!$B$2,0,24,COUNTA(Management!$F$7:$F$36),1),10)/COUNTA(Management!$F$7:$F$36),"0%"),"")</f>
        <v/>
      </c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</row>
    <row r="32" spans="1:52" ht="18" customHeight="1" x14ac:dyDescent="0.45">
      <c r="A32" s="112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112"/>
      <c r="V32" s="129" t="str">
        <f>IF(25&lt;=Management!$C$4,"R25","")</f>
        <v/>
      </c>
      <c r="W32" s="138" t="str">
        <f ca="1">IF(25&lt;=Management!$C$4,ROUND(AVERAGE(OFFSET(Dashboard!$B$2,0,25,COUNTA(Management!$F$7:$F$36),1)),1),"")</f>
        <v/>
      </c>
      <c r="X32" s="139" t="str">
        <f ca="1">IF(25&lt;=Management!$C$4,MAX(OFFSET(Dashboard!$B$2,0,25,COUNTA(Management!$F$7:$F$36),1)),"")</f>
        <v/>
      </c>
      <c r="Y32" s="140" t="str">
        <f ca="1">IF(25&lt;=Management!$C$4,MIN(OFFSET(Dashboard!$B$2,0,25,COUNTA(Management!$F$7:$F$36),1)),"")</f>
        <v/>
      </c>
      <c r="Z32" s="186" t="str">
        <f ca="1">IF(25&lt;=Management!$C$4,REPT("█",ROUND(AVERAGE(OFFSET(Dashboard!$B$2,0,25,COUNTA(Management!$F$7:$F$36),1))*2,0)),"")</f>
        <v/>
      </c>
      <c r="AA32" s="141" t="str">
        <f ca="1">IF(25&lt;=Management!$C$4,TEXT(COUNTIF(OFFSET(Dashboard!$B$2,0,25,COUNTA(Management!$F$7:$F$36),1),10)/COUNTA(Management!$F$7:$F$36),"0%"),"")</f>
        <v/>
      </c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</row>
    <row r="33" spans="1:52" ht="18" customHeight="1" x14ac:dyDescent="0.45">
      <c r="A33" s="112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112"/>
      <c r="V33" s="199" t="str">
        <f>IF(26&lt;=Management!$C$4,"R26","")</f>
        <v/>
      </c>
      <c r="W33" s="187" t="str">
        <f ca="1">IF(26&lt;=Management!$C$4,ROUND(AVERAGE(OFFSET(Dashboard!$B$2,0,26,COUNTA(Management!$F$7:$F$36),1)),1),"")</f>
        <v/>
      </c>
      <c r="X33" s="188" t="str">
        <f ca="1">IF(26&lt;=Management!$C$4,MAX(OFFSET(Dashboard!$B$2,0,26,COUNTA(Management!$F$7:$F$36),1)),"")</f>
        <v/>
      </c>
      <c r="Y33" s="189" t="str">
        <f ca="1">IF(26&lt;=Management!$C$4,MIN(OFFSET(Dashboard!$B$2,0,26,COUNTA(Management!$F$7:$F$36),1)),"")</f>
        <v/>
      </c>
      <c r="Z33" s="190" t="str">
        <f ca="1">IF(26&lt;=Management!$C$4,REPT("█",ROUND(AVERAGE(OFFSET(Dashboard!$B$2,0,26,COUNTA(Management!$F$7:$F$36),1))*2,0)),"")</f>
        <v/>
      </c>
      <c r="AA33" s="201" t="str">
        <f ca="1">IF(26&lt;=Management!$C$4,TEXT(COUNTIF(OFFSET(Dashboard!$B$2,0,26,COUNTA(Management!$F$7:$F$36),1),10)/COUNTA(Management!$F$7:$F$36),"0%"),"")</f>
        <v/>
      </c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</row>
    <row r="34" spans="1:52" ht="18" customHeight="1" x14ac:dyDescent="0.45">
      <c r="A34" s="112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112"/>
      <c r="V34" s="199" t="str">
        <f>IF(27&lt;=Management!$C$4,"R27","")</f>
        <v/>
      </c>
      <c r="W34" s="191" t="str">
        <f ca="1">IF(27&lt;=Management!$C$4,ROUND(AVERAGE(OFFSET(Dashboard!$B$2,0,27,COUNTA(Management!$F$7:$F$36),1)),1),"")</f>
        <v/>
      </c>
      <c r="X34" s="192" t="str">
        <f ca="1">IF(27&lt;=Management!$C$4,MAX(OFFSET(Dashboard!$B$2,0,27,COUNTA(Management!$F$7:$F$36),1)),"")</f>
        <v/>
      </c>
      <c r="Y34" s="193" t="str">
        <f ca="1">IF(27&lt;=Management!$C$4,MIN(OFFSET(Dashboard!$B$2,0,27,COUNTA(Management!$F$7:$F$36),1)),"")</f>
        <v/>
      </c>
      <c r="Z34" s="194" t="str">
        <f ca="1">IF(27&lt;=Management!$C$4,REPT("█",ROUND(AVERAGE(OFFSET(Dashboard!$B$2,0,27,COUNTA(Management!$F$7:$F$36),1))*2,0)),"")</f>
        <v/>
      </c>
      <c r="AA34" s="202" t="str">
        <f ca="1">IF(27&lt;=Management!$C$4,TEXT(COUNTIF(OFFSET(Dashboard!$B$2,0,27,COUNTA(Management!$F$7:$F$36),1),10)/COUNTA(Management!$F$7:$F$36),"0%"),"")</f>
        <v/>
      </c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</row>
    <row r="35" spans="1:52" ht="18" customHeight="1" x14ac:dyDescent="0.45">
      <c r="A35" s="112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112"/>
      <c r="V35" s="199" t="str">
        <f>IF(28&lt;=Management!$C$4,"R28","")</f>
        <v/>
      </c>
      <c r="W35" s="187" t="str">
        <f ca="1">IF(28&lt;=Management!$C$4,ROUND(AVERAGE(OFFSET(Dashboard!$B$2,0,28,COUNTA(Management!$F$7:$F$36),1)),1),"")</f>
        <v/>
      </c>
      <c r="X35" s="188" t="str">
        <f ca="1">IF(28&lt;=Management!$C$4,MAX(OFFSET(Dashboard!$B$2,0,28,COUNTA(Management!$F$7:$F$36),1)),"")</f>
        <v/>
      </c>
      <c r="Y35" s="189" t="str">
        <f ca="1">IF(28&lt;=Management!$C$4,MIN(OFFSET(Dashboard!$B$2,0,28,COUNTA(Management!$F$7:$F$36),1)),"")</f>
        <v/>
      </c>
      <c r="Z35" s="190" t="str">
        <f ca="1">IF(28&lt;=Management!$C$4,REPT("█",ROUND(AVERAGE(OFFSET(Dashboard!$B$2,0,28,COUNTA(Management!$F$7:$F$36),1))*2,0)),"")</f>
        <v/>
      </c>
      <c r="AA35" s="201" t="str">
        <f ca="1">IF(28&lt;=Management!$C$4,TEXT(COUNTIF(OFFSET(Dashboard!$B$2,0,28,COUNTA(Management!$F$7:$F$36),1),10)/COUNTA(Management!$F$7:$F$36),"0%"),"")</f>
        <v/>
      </c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</row>
    <row r="36" spans="1:52" ht="18" customHeight="1" x14ac:dyDescent="0.45">
      <c r="A36" s="112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112"/>
      <c r="V36" s="199" t="str">
        <f>IF(29&lt;=Management!$C$4,"R29","")</f>
        <v/>
      </c>
      <c r="W36" s="191" t="str">
        <f ca="1">IF(29&lt;=Management!$C$4,ROUND(AVERAGE(OFFSET(Dashboard!$B$2,0,29,COUNTA(Management!$F$7:$F$36),1)),1),"")</f>
        <v/>
      </c>
      <c r="X36" s="192" t="str">
        <f ca="1">IF(29&lt;=Management!$C$4,MAX(OFFSET(Dashboard!$B$2,0,29,COUNTA(Management!$F$7:$F$36),1)),"")</f>
        <v/>
      </c>
      <c r="Y36" s="193" t="str">
        <f ca="1">IF(29&lt;=Management!$C$4,MIN(OFFSET(Dashboard!$B$2,0,29,COUNTA(Management!$F$7:$F$36),1)),"")</f>
        <v/>
      </c>
      <c r="Z36" s="194" t="str">
        <f ca="1">IF(29&lt;=Management!$C$4,REPT("█",ROUND(AVERAGE(OFFSET(Dashboard!$B$2,0,29,COUNTA(Management!$F$7:$F$36),1))*2,0)),"")</f>
        <v/>
      </c>
      <c r="AA36" s="202" t="str">
        <f ca="1">IF(29&lt;=Management!$C$4,TEXT(COUNTIF(OFFSET(Dashboard!$B$2,0,29,COUNTA(Management!$F$7:$F$36),1),10)/COUNTA(Management!$F$7:$F$36),"0%"),"")</f>
        <v/>
      </c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</row>
    <row r="37" spans="1:52" ht="18" customHeight="1" x14ac:dyDescent="0.45">
      <c r="A37" s="112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112"/>
      <c r="V37" s="200" t="str">
        <f>IF(30&lt;=Management!$C$4,"R30","")</f>
        <v/>
      </c>
      <c r="W37" s="195" t="str">
        <f ca="1">IF(30&lt;=Management!$C$4,ROUND(AVERAGE(OFFSET(Dashboard!$B$2,0,30,COUNTA(Management!$F$7:$F$36),1)),1),"")</f>
        <v/>
      </c>
      <c r="X37" s="196" t="str">
        <f ca="1">IF(30&lt;=Management!$C$4,MAX(OFFSET(Dashboard!$B$2,0,30,COUNTA(Management!$F$7:$F$36),1)),"")</f>
        <v/>
      </c>
      <c r="Y37" s="197" t="str">
        <f ca="1">IF(30&lt;=Management!$C$4,MIN(OFFSET(Dashboard!$B$2,0,30,COUNTA(Management!$F$7:$F$36),1)),"")</f>
        <v/>
      </c>
      <c r="Z37" s="198" t="str">
        <f ca="1">IF(30&lt;=Management!$C$4,REPT("█",ROUND(AVERAGE(OFFSET(Dashboard!$B$2,0,30,COUNTA(Management!$F$7:$F$36),1))*2,0)),"")</f>
        <v/>
      </c>
      <c r="AA37" s="203" t="str">
        <f ca="1">IF(30&lt;=Management!$C$4,TEXT(COUNTIF(OFFSET(Dashboard!$B$2,0,30,COUNTA(Management!$F$7:$F$36),1),10)/COUNTA(Management!$F$7:$F$36),"0%"),"")</f>
        <v/>
      </c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</row>
    <row r="38" spans="1:52" ht="15" customHeight="1" x14ac:dyDescent="0.45">
      <c r="A38" s="112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112"/>
      <c r="V38" s="112"/>
      <c r="W38" s="112"/>
      <c r="X38" s="112"/>
      <c r="Y38" s="112"/>
      <c r="Z38" s="112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</row>
    <row r="39" spans="1:52" ht="15" customHeight="1" x14ac:dyDescent="0.45">
      <c r="A39" s="112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112"/>
      <c r="V39" s="112"/>
      <c r="W39" s="112"/>
      <c r="X39" s="112"/>
      <c r="Y39" s="112"/>
      <c r="Z39" s="112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</row>
    <row r="40" spans="1:52" ht="15" customHeight="1" x14ac:dyDescent="0.45">
      <c r="A40" s="112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112"/>
      <c r="V40" s="112"/>
      <c r="W40" s="112"/>
      <c r="X40" s="112"/>
      <c r="Y40" s="112"/>
      <c r="Z40" s="112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</row>
    <row r="41" spans="1:52" ht="15" customHeight="1" x14ac:dyDescent="0.45">
      <c r="A41" s="112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112"/>
      <c r="V41" s="112"/>
      <c r="W41" s="112"/>
      <c r="X41" s="112"/>
      <c r="Y41" s="112"/>
      <c r="Z41" s="112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</row>
    <row r="42" spans="1:52" ht="15" customHeight="1" x14ac:dyDescent="0.45">
      <c r="A42" s="112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112"/>
      <c r="V42" s="112"/>
      <c r="W42" s="112"/>
      <c r="X42" s="112"/>
      <c r="Y42" s="112"/>
      <c r="Z42" s="112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</row>
    <row r="43" spans="1:52" ht="15" customHeight="1" x14ac:dyDescent="0.45">
      <c r="A43" s="112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112"/>
      <c r="V43" s="112"/>
      <c r="W43" s="112"/>
      <c r="X43" s="112"/>
      <c r="Y43" s="112"/>
      <c r="Z43" s="112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</row>
    <row r="44" spans="1:52" ht="15" customHeight="1" x14ac:dyDescent="0.45">
      <c r="A44" s="112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112"/>
      <c r="V44" s="112"/>
      <c r="W44" s="112"/>
      <c r="X44" s="112"/>
      <c r="Y44" s="112"/>
      <c r="Z44" s="112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</row>
    <row r="45" spans="1:52" ht="15" customHeight="1" x14ac:dyDescent="0.45">
      <c r="A45" s="112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112"/>
      <c r="V45" s="112"/>
      <c r="W45" s="112"/>
      <c r="X45" s="112"/>
      <c r="Y45" s="112"/>
      <c r="Z45" s="112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</row>
    <row r="46" spans="1:52" ht="15" customHeight="1" x14ac:dyDescent="0.45">
      <c r="A46" s="112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112"/>
      <c r="V46" s="112"/>
      <c r="W46" s="112"/>
      <c r="X46" s="112"/>
      <c r="Y46" s="112"/>
      <c r="Z46" s="112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</row>
    <row r="47" spans="1:52" ht="15" customHeight="1" x14ac:dyDescent="0.45">
      <c r="A47" s="112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112"/>
      <c r="V47" s="112"/>
      <c r="W47" s="112"/>
      <c r="X47" s="112"/>
      <c r="Y47" s="112"/>
      <c r="Z47" s="112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</row>
    <row r="48" spans="1:52" ht="15" customHeight="1" x14ac:dyDescent="0.45">
      <c r="A48" s="112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112"/>
      <c r="V48" s="112"/>
      <c r="W48" s="112"/>
      <c r="X48" s="112"/>
      <c r="Y48" s="112"/>
      <c r="Z48" s="112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</row>
    <row r="49" spans="1:52" ht="15" customHeight="1" x14ac:dyDescent="0.45">
      <c r="A49" s="112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112"/>
      <c r="V49" s="112"/>
      <c r="W49" s="112"/>
      <c r="X49" s="112"/>
      <c r="Y49" s="112"/>
      <c r="Z49" s="112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</row>
    <row r="50" spans="1:52" ht="15" customHeight="1" x14ac:dyDescent="0.45">
      <c r="A50" s="112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112"/>
      <c r="V50" s="112"/>
      <c r="W50" s="112"/>
      <c r="X50" s="112"/>
      <c r="Y50" s="112"/>
      <c r="Z50" s="112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</row>
    <row r="51" spans="1:52" ht="15" customHeight="1" x14ac:dyDescent="0.45">
      <c r="A51" s="112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112"/>
      <c r="V51" s="112"/>
      <c r="W51" s="112"/>
      <c r="X51" s="112"/>
      <c r="Y51" s="112"/>
      <c r="Z51" s="112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</row>
    <row r="52" spans="1:52" ht="15" customHeight="1" x14ac:dyDescent="0.45">
      <c r="A52" s="112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112"/>
      <c r="V52" s="112"/>
      <c r="W52" s="112"/>
      <c r="X52" s="112"/>
      <c r="Y52" s="112"/>
      <c r="Z52" s="112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</row>
    <row r="53" spans="1:52" ht="15" customHeight="1" x14ac:dyDescent="0.45">
      <c r="A53" s="112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112"/>
      <c r="V53" s="112"/>
      <c r="W53" s="112"/>
      <c r="X53" s="112"/>
      <c r="Y53" s="112"/>
      <c r="Z53" s="112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</row>
    <row r="54" spans="1:52" ht="15" customHeight="1" x14ac:dyDescent="0.45">
      <c r="A54" s="112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112"/>
      <c r="V54" s="112"/>
      <c r="W54" s="112"/>
      <c r="X54" s="112"/>
      <c r="Y54" s="112"/>
      <c r="Z54" s="112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</row>
    <row r="55" spans="1:52" ht="15" customHeight="1" x14ac:dyDescent="0.45">
      <c r="A55" s="112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112"/>
      <c r="V55" s="112"/>
      <c r="W55" s="112"/>
      <c r="X55" s="112"/>
      <c r="Y55" s="112"/>
      <c r="Z55" s="112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</row>
    <row r="56" spans="1:52" ht="15" customHeight="1" x14ac:dyDescent="0.45">
      <c r="A56" s="112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112"/>
      <c r="V56" s="112"/>
      <c r="W56" s="112"/>
      <c r="X56" s="112"/>
      <c r="Y56" s="112"/>
      <c r="Z56" s="112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</row>
    <row r="57" spans="1:52" ht="15" customHeight="1" x14ac:dyDescent="0.45">
      <c r="A57" s="112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112"/>
      <c r="V57" s="112"/>
      <c r="W57" s="112"/>
      <c r="X57" s="112"/>
      <c r="Y57" s="112"/>
      <c r="Z57" s="112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</row>
    <row r="58" spans="1:52" ht="15" customHeight="1" x14ac:dyDescent="0.45">
      <c r="A58" s="112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112"/>
      <c r="V58" s="112"/>
      <c r="W58" s="112"/>
      <c r="X58" s="112"/>
      <c r="Y58" s="112"/>
      <c r="Z58" s="112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</row>
    <row r="59" spans="1:52" ht="15" customHeight="1" x14ac:dyDescent="0.45">
      <c r="A59" s="112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112"/>
      <c r="V59" s="112"/>
      <c r="W59" s="112"/>
      <c r="X59" s="112"/>
      <c r="Y59" s="112"/>
      <c r="Z59" s="112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</row>
    <row r="60" spans="1:52" ht="15" customHeight="1" x14ac:dyDescent="0.45">
      <c r="A60" s="112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112"/>
      <c r="V60" s="112"/>
      <c r="W60" s="112"/>
      <c r="X60" s="112"/>
      <c r="Y60" s="112"/>
      <c r="Z60" s="112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</row>
    <row r="61" spans="1:52" ht="15" customHeight="1" x14ac:dyDescent="0.45">
      <c r="A61" s="112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112"/>
      <c r="V61" s="112"/>
      <c r="W61" s="112"/>
      <c r="X61" s="112"/>
      <c r="Y61" s="112"/>
      <c r="Z61" s="112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</row>
    <row r="62" spans="1:52" ht="15" customHeight="1" x14ac:dyDescent="0.45">
      <c r="A62" s="112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112"/>
      <c r="V62" s="112"/>
      <c r="W62" s="112"/>
      <c r="X62" s="112"/>
      <c r="Y62" s="112"/>
      <c r="Z62" s="112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</row>
    <row r="63" spans="1:52" ht="15" customHeight="1" x14ac:dyDescent="0.45">
      <c r="A63" s="112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112"/>
      <c r="V63" s="112"/>
      <c r="W63" s="112"/>
      <c r="X63" s="112"/>
      <c r="Y63" s="112"/>
      <c r="Z63" s="112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</row>
    <row r="64" spans="1:52" ht="15" customHeight="1" x14ac:dyDescent="0.45">
      <c r="A64" s="112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112"/>
      <c r="V64" s="112"/>
      <c r="W64" s="112"/>
      <c r="X64" s="112"/>
      <c r="Y64" s="112"/>
      <c r="Z64" s="112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</row>
    <row r="65" spans="1:52" ht="15" customHeight="1" x14ac:dyDescent="0.45">
      <c r="A65" s="112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112"/>
      <c r="V65" s="112"/>
      <c r="W65" s="112"/>
      <c r="X65" s="112"/>
      <c r="Y65" s="112"/>
      <c r="Z65" s="112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</row>
    <row r="66" spans="1:52" ht="15" customHeight="1" x14ac:dyDescent="0.45">
      <c r="A66" s="112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112"/>
      <c r="V66" s="112"/>
      <c r="W66" s="112"/>
      <c r="X66" s="112"/>
      <c r="Y66" s="112"/>
      <c r="Z66" s="112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</row>
    <row r="67" spans="1:52" ht="15" customHeight="1" x14ac:dyDescent="0.45">
      <c r="A67" s="112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112"/>
      <c r="V67" s="112"/>
      <c r="W67" s="112"/>
      <c r="X67" s="112"/>
      <c r="Y67" s="112"/>
      <c r="Z67" s="112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</row>
    <row r="68" spans="1:52" ht="15" customHeight="1" x14ac:dyDescent="0.45">
      <c r="A68" s="112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112"/>
      <c r="V68" s="112"/>
      <c r="W68" s="112"/>
      <c r="X68" s="112"/>
      <c r="Y68" s="112"/>
      <c r="Z68" s="112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</row>
    <row r="69" spans="1:52" ht="15" customHeight="1" x14ac:dyDescent="0.45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</row>
    <row r="70" spans="1:52" ht="15" customHeight="1" x14ac:dyDescent="0.45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</row>
    <row r="71" spans="1:52" ht="15" customHeight="1" x14ac:dyDescent="0.45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</row>
    <row r="72" spans="1:52" ht="15" customHeight="1" x14ac:dyDescent="0.45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</row>
    <row r="73" spans="1:52" ht="15" customHeight="1" x14ac:dyDescent="0.45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</row>
    <row r="74" spans="1:52" ht="15" customHeight="1" x14ac:dyDescent="0.45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</row>
    <row r="75" spans="1:52" ht="15" customHeight="1" x14ac:dyDescent="0.4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</row>
    <row r="76" spans="1:52" ht="15" customHeight="1" x14ac:dyDescent="0.45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</row>
    <row r="77" spans="1:52" ht="15" customHeight="1" x14ac:dyDescent="0.45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</row>
    <row r="78" spans="1:52" ht="15" customHeight="1" x14ac:dyDescent="0.45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</row>
    <row r="79" spans="1:52" x14ac:dyDescent="0.45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</row>
    <row r="80" spans="1:52" x14ac:dyDescent="0.45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</row>
  </sheetData>
  <mergeCells count="11">
    <mergeCell ref="V6:AA6"/>
    <mergeCell ref="B9:F9"/>
    <mergeCell ref="G9:K9"/>
    <mergeCell ref="L9:P9"/>
    <mergeCell ref="Q9:T9"/>
    <mergeCell ref="L7:P8"/>
    <mergeCell ref="Q7:T8"/>
    <mergeCell ref="B2:T4"/>
    <mergeCell ref="B5:T5"/>
    <mergeCell ref="B7:F8"/>
    <mergeCell ref="G7:K8"/>
  </mergeCells>
  <pageMargins left="0.27777777777777779" right="0.27777777777777779" top="0.27777777777777779" bottom="0.27777777777777779" header="0.3" footer="0.3"/>
  <pageSetup paperSize="0" scale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Management</vt:lpstr>
      <vt:lpstr>Dashboard</vt:lpstr>
      <vt:lpstr>Standings</vt:lpstr>
      <vt:lpstr>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Tjerk Beke</dc:creator>
  <cp:lastModifiedBy>Tjerk Beke</cp:lastModifiedBy>
  <dcterms:created xsi:type="dcterms:W3CDTF">2026-05-05T17:30:40Z</dcterms:created>
  <dcterms:modified xsi:type="dcterms:W3CDTF">2026-05-07T19:01:56Z</dcterms:modified>
</cp:coreProperties>
</file>