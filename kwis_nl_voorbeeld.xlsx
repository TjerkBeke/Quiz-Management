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G:\Other computers\BusinessData\Kabetchi\QuizData\"/>
    </mc:Choice>
  </mc:AlternateContent>
  <xr:revisionPtr revIDLastSave="0" documentId="8_{FF851D5C-0400-4519-87F8-8E2582BA2428}" xr6:coauthVersionLast="47" xr6:coauthVersionMax="47" xr10:uidLastSave="{00000000-0000-0000-0000-000000000000}"/>
  <bookViews>
    <workbookView xWindow="-98" yWindow="-98" windowWidth="19396" windowHeight="11475" tabRatio="746" xr2:uid="{0BFCD352-0D03-4C16-A805-91914848CB59}"/>
  </bookViews>
  <sheets>
    <sheet name="Beheer" sheetId="1" r:id="rId1"/>
    <sheet name="Dashboard" sheetId="2" r:id="rId2"/>
    <sheet name="Ranglijst" sheetId="3" r:id="rId3"/>
    <sheet name="Statistieken" sheetId="8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warnBelowVersion="2" setVersion="2"/>
    </ext>
  </extLst>
</workbook>
</file>

<file path=xl/calcChain.xml><?xml version="1.0" encoding="utf-8"?>
<calcChain xmlns="http://schemas.openxmlformats.org/spreadsheetml/2006/main">
  <c r="J15" i="8" l="1"/>
  <c r="J14" i="8"/>
  <c r="J13" i="8"/>
  <c r="AF1" i="3" a="1"/>
  <c r="AF1" i="3" s="1"/>
  <c r="AE1" i="3" a="1"/>
  <c r="AE1" i="3" s="1"/>
  <c r="AD1" i="3" a="1"/>
  <c r="AD1" i="3" s="1"/>
  <c r="AC1" i="3" a="1"/>
  <c r="AC1" i="3" s="1"/>
  <c r="AB1" i="3" a="1"/>
  <c r="AB1" i="3" s="1"/>
  <c r="AA1" i="3" a="1"/>
  <c r="AA1" i="3" s="1"/>
  <c r="Z1" i="3" a="1"/>
  <c r="Z1" i="3" s="1"/>
  <c r="Y1" i="3" a="1"/>
  <c r="Y1" i="3" s="1"/>
  <c r="X1" i="3" a="1"/>
  <c r="X1" i="3" s="1"/>
  <c r="W1" i="3" a="1"/>
  <c r="W1" i="3" s="1"/>
  <c r="V1" i="3" a="1"/>
  <c r="V1" i="3" s="1"/>
  <c r="U1" i="3" a="1"/>
  <c r="U1" i="3" s="1"/>
  <c r="T1" i="3" a="1"/>
  <c r="T1" i="3" s="1"/>
  <c r="S1" i="3" a="1"/>
  <c r="S1" i="3" s="1"/>
  <c r="G1" i="3" a="1"/>
  <c r="G1" i="3" s="1"/>
  <c r="AF1" i="2" a="1"/>
  <c r="AF1" i="2" s="1"/>
  <c r="AE1" i="2" a="1"/>
  <c r="AE1" i="2" s="1"/>
  <c r="AD1" i="2" a="1"/>
  <c r="AD1" i="2" s="1"/>
  <c r="AC1" i="2" a="1"/>
  <c r="AC1" i="2" s="1"/>
  <c r="AB1" i="2" a="1"/>
  <c r="AB1" i="2" s="1"/>
  <c r="AA1" i="2" a="1"/>
  <c r="AA1" i="2" s="1"/>
  <c r="Z1" i="2" a="1"/>
  <c r="Z1" i="2" s="1"/>
  <c r="Y1" i="2" a="1"/>
  <c r="Y1" i="2" s="1"/>
  <c r="X1" i="2" a="1"/>
  <c r="X1" i="2" s="1"/>
  <c r="W1" i="2" a="1"/>
  <c r="W1" i="2" s="1"/>
  <c r="V1" i="2" a="1"/>
  <c r="V1" i="2" s="1"/>
  <c r="U1" i="2" a="1"/>
  <c r="U1" i="2" s="1"/>
  <c r="T1" i="2" a="1"/>
  <c r="T1" i="2" s="1"/>
  <c r="S1" i="2" a="1"/>
  <c r="S1" i="2" s="1"/>
  <c r="R1" i="2" a="1"/>
  <c r="R1" i="2" s="1"/>
  <c r="F1" i="2" a="1"/>
  <c r="F1" i="2" s="1"/>
  <c r="Z8" i="8"/>
  <c r="Z9" i="8"/>
  <c r="Z10" i="8"/>
  <c r="Z11" i="8"/>
  <c r="Z12" i="8"/>
  <c r="Z13" i="8"/>
  <c r="Z14" i="8"/>
  <c r="Z15" i="8"/>
  <c r="Z16" i="8"/>
  <c r="Z17" i="8"/>
  <c r="Z18" i="8"/>
  <c r="Z19" i="8"/>
  <c r="Z20" i="8"/>
  <c r="Z21" i="8"/>
  <c r="Z22" i="8"/>
  <c r="Z23" i="8"/>
  <c r="Z24" i="8"/>
  <c r="Z25" i="8"/>
  <c r="Z26" i="8"/>
  <c r="Z27" i="8"/>
  <c r="Z28" i="8"/>
  <c r="Z29" i="8"/>
  <c r="Z30" i="8"/>
  <c r="Z31" i="8"/>
  <c r="Z32" i="8"/>
  <c r="Z33" i="8"/>
  <c r="Z34" i="8"/>
  <c r="Z35" i="8"/>
  <c r="Z36" i="8"/>
  <c r="Z37" i="8"/>
  <c r="AA8" i="8"/>
  <c r="AA9" i="8"/>
  <c r="AA10" i="8"/>
  <c r="AA11" i="8"/>
  <c r="AA12" i="8"/>
  <c r="AA13" i="8"/>
  <c r="AA14" i="8"/>
  <c r="AA15" i="8"/>
  <c r="AA16" i="8"/>
  <c r="AA17" i="8"/>
  <c r="AA18" i="8"/>
  <c r="AA19" i="8"/>
  <c r="AA20" i="8"/>
  <c r="AA21" i="8"/>
  <c r="AA22" i="8"/>
  <c r="AA23" i="8"/>
  <c r="AA24" i="8"/>
  <c r="AA25" i="8"/>
  <c r="AA26" i="8"/>
  <c r="AA27" i="8"/>
  <c r="AA28" i="8"/>
  <c r="AA29" i="8"/>
  <c r="AA30" i="8"/>
  <c r="AA31" i="8"/>
  <c r="AA32" i="8"/>
  <c r="AA33" i="8"/>
  <c r="AA34" i="8"/>
  <c r="AA35" i="8"/>
  <c r="AA36" i="8"/>
  <c r="AA37" i="8"/>
  <c r="Y8" i="8"/>
  <c r="Y9" i="8"/>
  <c r="Y10" i="8"/>
  <c r="Y11" i="8"/>
  <c r="Y12" i="8"/>
  <c r="Y13" i="8"/>
  <c r="Y14" i="8"/>
  <c r="Y15" i="8"/>
  <c r="Y16" i="8"/>
  <c r="Y17" i="8"/>
  <c r="Y18" i="8"/>
  <c r="Y19" i="8"/>
  <c r="Y20" i="8"/>
  <c r="Y21" i="8"/>
  <c r="Y22" i="8"/>
  <c r="Y23" i="8"/>
  <c r="Y24" i="8"/>
  <c r="Y25" i="8"/>
  <c r="Y26" i="8"/>
  <c r="Y27" i="8"/>
  <c r="Y28" i="8"/>
  <c r="Y29" i="8"/>
  <c r="Y30" i="8"/>
  <c r="Y31" i="8"/>
  <c r="Y32" i="8"/>
  <c r="Y33" i="8"/>
  <c r="Y34" i="8"/>
  <c r="Y35" i="8"/>
  <c r="Y36" i="8"/>
  <c r="Y37" i="8"/>
  <c r="X8" i="8"/>
  <c r="X9" i="8"/>
  <c r="X10" i="8"/>
  <c r="X11" i="8"/>
  <c r="X12" i="8"/>
  <c r="X13" i="8"/>
  <c r="X14" i="8"/>
  <c r="X15" i="8"/>
  <c r="X16" i="8"/>
  <c r="X17" i="8"/>
  <c r="X18" i="8"/>
  <c r="X19" i="8"/>
  <c r="X20" i="8"/>
  <c r="X21" i="8"/>
  <c r="X22" i="8"/>
  <c r="X23" i="8"/>
  <c r="X24" i="8"/>
  <c r="X25" i="8"/>
  <c r="X26" i="8"/>
  <c r="X27" i="8"/>
  <c r="X28" i="8"/>
  <c r="X29" i="8"/>
  <c r="X30" i="8"/>
  <c r="X31" i="8"/>
  <c r="X32" i="8"/>
  <c r="X33" i="8"/>
  <c r="X34" i="8"/>
  <c r="X35" i="8"/>
  <c r="X36" i="8"/>
  <c r="X37" i="8"/>
  <c r="W8" i="8"/>
  <c r="W9" i="8"/>
  <c r="W10" i="8"/>
  <c r="W11" i="8"/>
  <c r="W12" i="8"/>
  <c r="W13" i="8"/>
  <c r="W14" i="8"/>
  <c r="W15" i="8"/>
  <c r="W16" i="8"/>
  <c r="W17" i="8"/>
  <c r="W18" i="8"/>
  <c r="W19" i="8"/>
  <c r="W20" i="8"/>
  <c r="W21" i="8"/>
  <c r="W22" i="8"/>
  <c r="W23" i="8"/>
  <c r="W24" i="8"/>
  <c r="W25" i="8"/>
  <c r="W26" i="8"/>
  <c r="W27" i="8"/>
  <c r="W28" i="8"/>
  <c r="W29" i="8"/>
  <c r="W30" i="8"/>
  <c r="W31" i="8"/>
  <c r="W32" i="8"/>
  <c r="W33" i="8"/>
  <c r="W34" i="8"/>
  <c r="W35" i="8"/>
  <c r="W36" i="8"/>
  <c r="W37" i="8"/>
  <c r="A2" i="3"/>
  <c r="A3" i="3"/>
  <c r="A4" i="3"/>
  <c r="A5" i="3"/>
  <c r="A6" i="3"/>
  <c r="A7" i="3"/>
  <c r="A8" i="3"/>
  <c r="A9" i="3"/>
  <c r="A10" i="3"/>
  <c r="A11" i="3"/>
  <c r="A12" i="3"/>
  <c r="A13" i="3"/>
  <c r="A14" i="3"/>
  <c r="A15" i="3"/>
  <c r="A16" i="3"/>
  <c r="A17" i="3"/>
  <c r="A18" i="3"/>
  <c r="A19" i="3"/>
  <c r="A20" i="3"/>
  <c r="A21" i="3"/>
  <c r="A22" i="3"/>
  <c r="A23" i="3"/>
  <c r="A24" i="3"/>
  <c r="A25" i="3"/>
  <c r="A26" i="3"/>
  <c r="A27" i="3"/>
  <c r="A28" i="3"/>
  <c r="A29" i="3"/>
  <c r="A30" i="3"/>
  <c r="A31" i="3"/>
  <c r="A32" i="3"/>
  <c r="A33" i="3"/>
  <c r="A34" i="3"/>
  <c r="A35" i="3"/>
  <c r="A36" i="3"/>
  <c r="A37" i="3"/>
  <c r="A38" i="3"/>
  <c r="A39" i="3"/>
  <c r="A40" i="3"/>
  <c r="A41" i="3"/>
  <c r="A42" i="3"/>
  <c r="A43" i="3"/>
  <c r="A44" i="3"/>
  <c r="A45" i="3"/>
  <c r="A46" i="3"/>
  <c r="A47" i="3"/>
  <c r="A48" i="3"/>
  <c r="A49" i="3"/>
  <c r="A50" i="3"/>
  <c r="A51" i="3"/>
  <c r="A52" i="3"/>
  <c r="A53" i="3"/>
  <c r="A54" i="3"/>
  <c r="A55" i="3"/>
  <c r="A56" i="3"/>
  <c r="A57" i="3"/>
  <c r="A58" i="3"/>
  <c r="A59" i="3"/>
  <c r="A60" i="3"/>
  <c r="A61" i="3"/>
  <c r="A2" i="2" a="1"/>
  <c r="A2" i="2" s="1"/>
  <c r="A3" i="2" a="1"/>
  <c r="A3" i="2" s="1"/>
  <c r="A4" i="2" a="1"/>
  <c r="A4" i="2" s="1"/>
  <c r="A5" i="2" a="1"/>
  <c r="A5" i="2" s="1"/>
  <c r="A6" i="2" a="1"/>
  <c r="A6" i="2" s="1"/>
  <c r="A7" i="2" a="1"/>
  <c r="A7" i="2" s="1"/>
  <c r="AI7" i="2" s="1"/>
  <c r="A8" i="2" a="1"/>
  <c r="A8" i="2" s="1"/>
  <c r="AH8" i="2" s="1" a="1"/>
  <c r="AH8" i="2" s="1"/>
  <c r="A9" i="2" a="1"/>
  <c r="A9" i="2" s="1"/>
  <c r="AH9" i="2" s="1" a="1"/>
  <c r="AH9" i="2" s="1"/>
  <c r="A10" i="2" a="1"/>
  <c r="A10" i="2" s="1"/>
  <c r="AH10" i="2" s="1" a="1"/>
  <c r="AH10" i="2" s="1"/>
  <c r="A11" i="2" a="1"/>
  <c r="A11" i="2" s="1"/>
  <c r="AH11" i="2" s="1" a="1"/>
  <c r="AH11" i="2" s="1"/>
  <c r="A12" i="2" a="1"/>
  <c r="A12" i="2" s="1"/>
  <c r="AH12" i="2" s="1" a="1"/>
  <c r="AH12" i="2" s="1"/>
  <c r="A13" i="2" a="1"/>
  <c r="A13" i="2" s="1"/>
  <c r="AH13" i="2" s="1" a="1"/>
  <c r="AH13" i="2" s="1"/>
  <c r="A14" i="2" a="1"/>
  <c r="A14" i="2" s="1"/>
  <c r="AH14" i="2" s="1" a="1"/>
  <c r="AH14" i="2" s="1"/>
  <c r="A15" i="2" a="1"/>
  <c r="A15" i="2" s="1"/>
  <c r="AH15" i="2" s="1" a="1"/>
  <c r="AH15" i="2" s="1"/>
  <c r="A16" i="2" a="1"/>
  <c r="A16" i="2" s="1"/>
  <c r="A17" i="2" a="1"/>
  <c r="A17" i="2" s="1"/>
  <c r="A18" i="2" a="1"/>
  <c r="A18" i="2" s="1"/>
  <c r="A19" i="2" a="1"/>
  <c r="A19" i="2" s="1"/>
  <c r="A20" i="2" a="1"/>
  <c r="A20" i="2" s="1"/>
  <c r="A21" i="2" a="1"/>
  <c r="A21" i="2" s="1"/>
  <c r="A22" i="2" a="1"/>
  <c r="A22" i="2" s="1"/>
  <c r="A23" i="2" a="1"/>
  <c r="A23" i="2" s="1"/>
  <c r="A24" i="2" a="1"/>
  <c r="A24" i="2" s="1"/>
  <c r="A25" i="2" a="1"/>
  <c r="A25" i="2" s="1"/>
  <c r="A26" i="2" a="1"/>
  <c r="A26" i="2" s="1"/>
  <c r="A27" i="2" a="1"/>
  <c r="A27" i="2" s="1"/>
  <c r="A28" i="2" a="1"/>
  <c r="A28" i="2" s="1"/>
  <c r="A29" i="2" a="1"/>
  <c r="A29" i="2" s="1"/>
  <c r="A30" i="2" a="1"/>
  <c r="A30" i="2" s="1"/>
  <c r="A31" i="2" a="1"/>
  <c r="A31" i="2" s="1"/>
  <c r="A32" i="2" a="1"/>
  <c r="A32" i="2" s="1"/>
  <c r="A33" i="2" a="1"/>
  <c r="A33" i="2" s="1"/>
  <c r="A34" i="2" a="1"/>
  <c r="A34" i="2" s="1"/>
  <c r="A35" i="2" a="1"/>
  <c r="A35" i="2" s="1"/>
  <c r="A36" i="2" a="1"/>
  <c r="A36" i="2" s="1"/>
  <c r="A37" i="2" a="1"/>
  <c r="A37" i="2" s="1"/>
  <c r="A38" i="2" a="1"/>
  <c r="A38" i="2" s="1"/>
  <c r="A39" i="2" a="1"/>
  <c r="A39" i="2" s="1"/>
  <c r="AH39" i="2" s="1" a="1"/>
  <c r="AH39" i="2" s="1"/>
  <c r="A40" i="2" a="1"/>
  <c r="A40" i="2" s="1"/>
  <c r="AH40" i="2" s="1" a="1"/>
  <c r="AH40" i="2" s="1"/>
  <c r="A41" i="2" a="1"/>
  <c r="A41" i="2" s="1"/>
  <c r="A42" i="2" a="1"/>
  <c r="A42" i="2" s="1"/>
  <c r="A43" i="2" a="1"/>
  <c r="A43" i="2" s="1"/>
  <c r="A44" i="2" a="1"/>
  <c r="A44" i="2" s="1"/>
  <c r="A45" i="2" a="1"/>
  <c r="A45" i="2" s="1"/>
  <c r="AH45" i="2" s="1" a="1"/>
  <c r="AH45" i="2" s="1"/>
  <c r="A46" i="2" a="1"/>
  <c r="A46" i="2" s="1"/>
  <c r="A47" i="2" a="1"/>
  <c r="A47" i="2" s="1"/>
  <c r="A48" i="2" a="1"/>
  <c r="A48" i="2" s="1"/>
  <c r="A49" i="2" a="1"/>
  <c r="A49" i="2" s="1"/>
  <c r="A50" i="2" a="1"/>
  <c r="A50" i="2" s="1"/>
  <c r="A51" i="2" a="1"/>
  <c r="A51" i="2" s="1"/>
  <c r="A52" i="2" a="1"/>
  <c r="A52" i="2" s="1"/>
  <c r="A53" i="2" a="1"/>
  <c r="A53" i="2" s="1"/>
  <c r="A54" i="2" a="1"/>
  <c r="A54" i="2" s="1"/>
  <c r="A55" i="2" a="1"/>
  <c r="A55" i="2" s="1"/>
  <c r="A56" i="2" a="1"/>
  <c r="A56" i="2" s="1"/>
  <c r="A57" i="2" a="1"/>
  <c r="A57" i="2" s="1"/>
  <c r="A58" i="2" a="1"/>
  <c r="A58" i="2" s="1"/>
  <c r="A59" i="2" a="1"/>
  <c r="A59" i="2" s="1"/>
  <c r="A60" i="2" a="1"/>
  <c r="A60" i="2" s="1"/>
  <c r="A61" i="2" a="1"/>
  <c r="A61" i="2" s="1"/>
  <c r="L9" i="8"/>
  <c r="Q9" i="8"/>
  <c r="J20" i="8"/>
  <c r="J19" i="8"/>
  <c r="J18" i="8"/>
  <c r="J17" i="8"/>
  <c r="J16" i="8"/>
  <c r="A21" i="1"/>
  <c r="C21" i="1" s="1"/>
  <c r="A22" i="1"/>
  <c r="C22" i="1" s="1"/>
  <c r="A23" i="1"/>
  <c r="C23" i="1" s="1"/>
  <c r="A24" i="1"/>
  <c r="C24" i="1" s="1"/>
  <c r="A25" i="1"/>
  <c r="C25" i="1" s="1"/>
  <c r="A26" i="1"/>
  <c r="C26" i="1" s="1"/>
  <c r="A27" i="1"/>
  <c r="C27" i="1" s="1"/>
  <c r="A28" i="1"/>
  <c r="C28" i="1" s="1"/>
  <c r="A29" i="1"/>
  <c r="C29" i="1" s="1"/>
  <c r="A30" i="1"/>
  <c r="C30" i="1" s="1"/>
  <c r="A31" i="1"/>
  <c r="C31" i="1" s="1"/>
  <c r="A32" i="1"/>
  <c r="C32" i="1" s="1"/>
  <c r="A33" i="1"/>
  <c r="C33" i="1" s="1"/>
  <c r="A34" i="1"/>
  <c r="C34" i="1" s="1"/>
  <c r="A35" i="1"/>
  <c r="C35" i="1" s="1"/>
  <c r="A36" i="1"/>
  <c r="C36" i="1" s="1"/>
  <c r="AG1" i="3" a="1"/>
  <c r="AG1" i="3" s="1"/>
  <c r="V37" i="8"/>
  <c r="V36" i="8"/>
  <c r="V35" i="8"/>
  <c r="V34" i="8"/>
  <c r="V33" i="8"/>
  <c r="V32" i="8"/>
  <c r="V31" i="8"/>
  <c r="V30" i="8"/>
  <c r="V29" i="8"/>
  <c r="V28" i="8"/>
  <c r="V27" i="8"/>
  <c r="V26" i="8"/>
  <c r="V25" i="8"/>
  <c r="V24" i="8"/>
  <c r="V23" i="8"/>
  <c r="V22" i="8"/>
  <c r="V21" i="8"/>
  <c r="V20" i="8"/>
  <c r="V19" i="8"/>
  <c r="V18" i="8"/>
  <c r="V17" i="8"/>
  <c r="V16" i="8"/>
  <c r="V15" i="8"/>
  <c r="V14" i="8"/>
  <c r="V13" i="8"/>
  <c r="V12" i="8"/>
  <c r="V11" i="8"/>
  <c r="V10" i="8"/>
  <c r="V9" i="8"/>
  <c r="V8" i="8"/>
  <c r="B9" i="8"/>
  <c r="G9" i="8"/>
  <c r="A20" i="1"/>
  <c r="C20" i="1" s="1"/>
  <c r="A19" i="1"/>
  <c r="C19" i="1" s="1"/>
  <c r="A18" i="1"/>
  <c r="A17" i="1"/>
  <c r="A16" i="1"/>
  <c r="A15" i="1"/>
  <c r="A14" i="1"/>
  <c r="A13" i="1"/>
  <c r="A12" i="1"/>
  <c r="A11" i="1"/>
  <c r="A10" i="1"/>
  <c r="A9" i="1"/>
  <c r="A8" i="1"/>
  <c r="A7" i="1"/>
  <c r="J1" i="3" l="1" a="1"/>
  <c r="J1" i="3" s="1"/>
  <c r="I1" i="2" a="1"/>
  <c r="I1" i="2" s="1"/>
  <c r="I1" i="3" a="1"/>
  <c r="I1" i="3" s="1"/>
  <c r="H1" i="2" a="1"/>
  <c r="H1" i="2" s="1"/>
  <c r="H1" i="3" a="1"/>
  <c r="H1" i="3" s="1"/>
  <c r="G1" i="2" a="1"/>
  <c r="G1" i="2" s="1"/>
  <c r="F1" i="3" a="1"/>
  <c r="F1" i="3" s="1"/>
  <c r="E1" i="2" a="1"/>
  <c r="E1" i="2" s="1"/>
  <c r="E1" i="3" a="1"/>
  <c r="E1" i="3" s="1"/>
  <c r="D1" i="2" a="1"/>
  <c r="D1" i="2" s="1"/>
  <c r="D1" i="3" a="1"/>
  <c r="D1" i="3" s="1"/>
  <c r="C1" i="2" a="1"/>
  <c r="C1" i="2" s="1"/>
  <c r="K1" i="3" a="1"/>
  <c r="K1" i="3" s="1"/>
  <c r="J1" i="2" a="1"/>
  <c r="J1" i="2" s="1"/>
  <c r="L1" i="3" a="1"/>
  <c r="L1" i="3" s="1"/>
  <c r="K1" i="2" a="1"/>
  <c r="K1" i="2" s="1"/>
  <c r="M1" i="3" a="1"/>
  <c r="M1" i="3" s="1"/>
  <c r="L1" i="2" a="1"/>
  <c r="L1" i="2" s="1"/>
  <c r="N1" i="3" a="1"/>
  <c r="N1" i="3" s="1"/>
  <c r="M1" i="2" a="1"/>
  <c r="M1" i="2" s="1"/>
  <c r="O1" i="3" a="1"/>
  <c r="O1" i="3" s="1"/>
  <c r="N1" i="2" a="1"/>
  <c r="N1" i="2" s="1"/>
  <c r="P1" i="3" a="1"/>
  <c r="P1" i="3" s="1"/>
  <c r="O1" i="2" a="1"/>
  <c r="O1" i="2" s="1"/>
  <c r="Q1" i="3" a="1"/>
  <c r="Q1" i="3" s="1"/>
  <c r="P1" i="2" a="1"/>
  <c r="P1" i="2" s="1"/>
  <c r="R1" i="3" a="1"/>
  <c r="R1" i="3" s="1"/>
  <c r="Q1" i="2" a="1"/>
  <c r="Q1" i="2" s="1"/>
  <c r="AH2" i="2" a="1"/>
  <c r="AH2" i="2" s="1"/>
  <c r="AI2" i="2"/>
  <c r="AG2" i="2"/>
  <c r="AH3" i="2" a="1"/>
  <c r="AH3" i="2" s="1"/>
  <c r="AI3" i="2"/>
  <c r="AG3" i="2"/>
  <c r="AH4" i="2" a="1"/>
  <c r="AH4" i="2" s="1"/>
  <c r="AI4" i="2"/>
  <c r="AG4" i="2"/>
  <c r="AG5" i="2"/>
  <c r="AI5" i="2"/>
  <c r="AH5" i="2" a="1"/>
  <c r="AH5" i="2" s="1"/>
  <c r="AG6" i="2"/>
  <c r="AI6" i="2"/>
  <c r="AH6" i="2" a="1"/>
  <c r="AH6" i="2" s="1"/>
  <c r="AH17" i="2" a="1"/>
  <c r="AH17" i="2" s="1"/>
  <c r="AI17" i="2"/>
  <c r="AG17" i="2"/>
  <c r="AI18" i="2"/>
  <c r="AH18" i="2" a="1"/>
  <c r="AH18" i="2" s="1"/>
  <c r="AG18" i="2"/>
  <c r="AH19" i="2" a="1"/>
  <c r="AH19" i="2" s="1"/>
  <c r="AI19" i="2"/>
  <c r="AG19" i="2"/>
  <c r="AH20" i="2" a="1"/>
  <c r="AH20" i="2" s="1"/>
  <c r="AI20" i="2"/>
  <c r="AG20" i="2"/>
  <c r="AH21" i="2" a="1"/>
  <c r="AH21" i="2" s="1"/>
  <c r="AI21" i="2"/>
  <c r="AG21" i="2"/>
  <c r="AH22" i="2" a="1"/>
  <c r="AH22" i="2" s="1"/>
  <c r="AI22" i="2"/>
  <c r="AG22" i="2"/>
  <c r="AH23" i="2" a="1"/>
  <c r="AH23" i="2" s="1"/>
  <c r="AI23" i="2"/>
  <c r="AG23" i="2"/>
  <c r="AH24" i="2" a="1"/>
  <c r="AH24" i="2" s="1"/>
  <c r="AI24" i="2"/>
  <c r="AG24" i="2"/>
  <c r="AH25" i="2" a="1"/>
  <c r="AH25" i="2" s="1"/>
  <c r="AI25" i="2"/>
  <c r="AG25" i="2"/>
  <c r="AH26" i="2" a="1"/>
  <c r="AH26" i="2" s="1"/>
  <c r="AI26" i="2"/>
  <c r="AG26" i="2"/>
  <c r="AH27" i="2" a="1"/>
  <c r="AH27" i="2" s="1"/>
  <c r="AI27" i="2"/>
  <c r="AG27" i="2"/>
  <c r="AI28" i="2"/>
  <c r="AH28" i="2" a="1"/>
  <c r="AH28" i="2" s="1"/>
  <c r="AG28" i="2"/>
  <c r="AH29" i="2" a="1"/>
  <c r="AH29" i="2" s="1"/>
  <c r="AI29" i="2"/>
  <c r="AG29" i="2"/>
  <c r="AI30" i="2"/>
  <c r="AH30" i="2" a="1"/>
  <c r="AH30" i="2" s="1"/>
  <c r="AG30" i="2"/>
  <c r="AH31" i="2" a="1"/>
  <c r="AH31" i="2" s="1"/>
  <c r="AI31" i="2"/>
  <c r="AG31" i="2"/>
  <c r="AH32" i="2" a="1"/>
  <c r="AH32" i="2" s="1"/>
  <c r="AI32" i="2"/>
  <c r="AG32" i="2"/>
  <c r="AH33" i="2" a="1"/>
  <c r="AH33" i="2" s="1"/>
  <c r="AI33" i="2"/>
  <c r="AG33" i="2"/>
  <c r="AH34" i="2" a="1"/>
  <c r="AH34" i="2" s="1"/>
  <c r="AI34" i="2"/>
  <c r="AG34" i="2"/>
  <c r="AH35" i="2" a="1"/>
  <c r="AH35" i="2" s="1"/>
  <c r="AI35" i="2"/>
  <c r="AG35" i="2"/>
  <c r="AH36" i="2" a="1"/>
  <c r="AH36" i="2" s="1"/>
  <c r="AI36" i="2"/>
  <c r="AG36" i="2"/>
  <c r="AH37" i="2" a="1"/>
  <c r="AH37" i="2" s="1"/>
  <c r="AI37" i="2"/>
  <c r="AG37" i="2"/>
  <c r="AH38" i="2" a="1"/>
  <c r="AH38" i="2" s="1"/>
  <c r="AI38" i="2"/>
  <c r="AG38" i="2"/>
  <c r="AH7" i="2" a="1"/>
  <c r="AH7" i="2" s="1"/>
  <c r="AG7" i="2"/>
  <c r="AI8" i="2"/>
  <c r="AG8" i="2"/>
  <c r="AI9" i="2"/>
  <c r="AG9" i="2"/>
  <c r="AI10" i="2"/>
  <c r="AG10" i="2"/>
  <c r="AI11" i="2"/>
  <c r="AG11" i="2"/>
  <c r="AI12" i="2"/>
  <c r="AG12" i="2"/>
  <c r="AI13" i="2"/>
  <c r="AG13" i="2"/>
  <c r="AI14" i="2"/>
  <c r="AG14" i="2"/>
  <c r="AI15" i="2"/>
  <c r="AG15" i="2"/>
  <c r="AG16" i="2"/>
  <c r="AH16" i="2" a="1"/>
  <c r="AH16" i="2" s="1"/>
  <c r="AI16" i="2"/>
  <c r="AG39" i="2"/>
  <c r="AI39" i="2"/>
  <c r="AI40" i="2"/>
  <c r="AG40" i="2"/>
  <c r="AG41" i="2"/>
  <c r="AI41" i="2"/>
  <c r="AH41" i="2" a="1"/>
  <c r="AH41" i="2" s="1"/>
  <c r="AG42" i="2"/>
  <c r="AI42" i="2"/>
  <c r="AH42" i="2" a="1"/>
  <c r="AH42" i="2" s="1"/>
  <c r="AG43" i="2"/>
  <c r="AI43" i="2"/>
  <c r="AH43" i="2" a="1"/>
  <c r="AH43" i="2" s="1"/>
  <c r="AG44" i="2"/>
  <c r="AI44" i="2"/>
  <c r="AH44" i="2" a="1"/>
  <c r="AH44" i="2" s="1"/>
  <c r="AI45" i="2"/>
  <c r="AG45" i="2"/>
  <c r="AG46" i="2"/>
  <c r="AI46" i="2"/>
  <c r="AH46" i="2" a="1"/>
  <c r="AH46" i="2" s="1"/>
  <c r="AG47" i="2"/>
  <c r="AI47" i="2"/>
  <c r="AH47" i="2" a="1"/>
  <c r="AH47" i="2" s="1"/>
  <c r="AG48" i="2"/>
  <c r="AI48" i="2"/>
  <c r="AH48" i="2" a="1"/>
  <c r="AH48" i="2" s="1"/>
  <c r="AG49" i="2"/>
  <c r="AI49" i="2"/>
  <c r="AH49" i="2" a="1"/>
  <c r="AH49" i="2" s="1"/>
  <c r="AG50" i="2"/>
  <c r="AI50" i="2"/>
  <c r="AH50" i="2" a="1"/>
  <c r="AH50" i="2" s="1"/>
  <c r="AG51" i="2"/>
  <c r="AI51" i="2"/>
  <c r="AH51" i="2" a="1"/>
  <c r="AH51" i="2" s="1"/>
  <c r="AI52" i="2"/>
  <c r="AG52" i="2"/>
  <c r="AH52" i="2" a="1"/>
  <c r="AH52" i="2" s="1"/>
  <c r="AG53" i="2"/>
  <c r="AH53" i="2" a="1"/>
  <c r="AH53" i="2" s="1"/>
  <c r="AI53" i="2"/>
  <c r="AG54" i="2"/>
  <c r="AH54" i="2" a="1"/>
  <c r="AH54" i="2" s="1"/>
  <c r="AI54" i="2"/>
  <c r="AG55" i="2"/>
  <c r="AH55" i="2" a="1"/>
  <c r="AH55" i="2" s="1"/>
  <c r="AI55" i="2"/>
  <c r="AI56" i="2"/>
  <c r="AG56" i="2"/>
  <c r="AH56" i="2" a="1"/>
  <c r="AH56" i="2" s="1"/>
  <c r="AG57" i="2"/>
  <c r="AH57" i="2" a="1"/>
  <c r="AH57" i="2" s="1"/>
  <c r="AI57" i="2"/>
  <c r="AI58" i="2"/>
  <c r="AH58" i="2" a="1"/>
  <c r="AH58" i="2" s="1"/>
  <c r="AG58" i="2"/>
  <c r="AI59" i="2"/>
  <c r="AG59" i="2"/>
  <c r="AH59" i="2" a="1"/>
  <c r="AH59" i="2" s="1"/>
  <c r="AI60" i="2"/>
  <c r="AH60" i="2" a="1"/>
  <c r="AH60" i="2" s="1"/>
  <c r="AG60" i="2"/>
  <c r="AG61" i="2"/>
  <c r="AH61" i="2" a="1"/>
  <c r="AH61" i="2" s="1"/>
  <c r="AI61" i="2"/>
  <c r="T16" i="8" l="1"/>
  <c r="T15" i="8"/>
  <c r="T14" i="8"/>
  <c r="T13" i="8"/>
  <c r="D56" i="3" a="1"/>
  <c r="D56" i="3" s="1"/>
  <c r="N56" i="3" a="1"/>
  <c r="N56" i="3" s="1"/>
  <c r="Q56" i="3" a="1"/>
  <c r="Q56" i="3" s="1"/>
  <c r="T56" i="3" a="1"/>
  <c r="T56" i="3" s="1"/>
  <c r="H56" i="3" a="1"/>
  <c r="H56" i="3" s="1"/>
  <c r="K56" i="3" a="1"/>
  <c r="K56" i="3" s="1"/>
  <c r="B60" i="3"/>
  <c r="B61" i="3"/>
  <c r="B50" i="3"/>
  <c r="B51" i="3"/>
  <c r="B52" i="3"/>
  <c r="W56" i="3" a="1"/>
  <c r="W56" i="3" s="1"/>
  <c r="AA56" i="3" a="1"/>
  <c r="AA56" i="3" s="1"/>
  <c r="B53" i="3"/>
  <c r="AF56" i="3" a="1"/>
  <c r="AF56" i="3" s="1"/>
  <c r="B54" i="3"/>
  <c r="B55" i="3"/>
  <c r="B56" i="3"/>
  <c r="AB59" i="3" a="1"/>
  <c r="AB59" i="3" s="1"/>
  <c r="B57" i="3"/>
  <c r="B58" i="3"/>
  <c r="B59" i="3"/>
  <c r="B42" i="3"/>
  <c r="B34" i="3"/>
  <c r="B26" i="3"/>
  <c r="B18" i="3"/>
  <c r="B10" i="3"/>
  <c r="B3" i="3"/>
  <c r="C58" i="3"/>
  <c r="B49" i="3"/>
  <c r="B43" i="3"/>
  <c r="B35" i="3"/>
  <c r="B27" i="3"/>
  <c r="B19" i="3"/>
  <c r="B12" i="3"/>
  <c r="B4" i="3"/>
  <c r="C59" i="3"/>
  <c r="C55" i="3"/>
  <c r="C52" i="3"/>
  <c r="C50" i="3"/>
  <c r="C48" i="3"/>
  <c r="C45" i="3"/>
  <c r="C43" i="3"/>
  <c r="C41" i="3"/>
  <c r="C39" i="3"/>
  <c r="C37" i="3"/>
  <c r="C35" i="3"/>
  <c r="C33" i="3"/>
  <c r="C31" i="3"/>
  <c r="C29" i="3"/>
  <c r="C27" i="3"/>
  <c r="C25" i="3"/>
  <c r="C23" i="3"/>
  <c r="C21" i="3"/>
  <c r="C19" i="3"/>
  <c r="C17" i="3"/>
  <c r="C15" i="3"/>
  <c r="C13" i="3"/>
  <c r="C11" i="3"/>
  <c r="C9" i="3"/>
  <c r="C2" i="3"/>
  <c r="B46" i="3"/>
  <c r="B37" i="3"/>
  <c r="B29" i="3"/>
  <c r="B21" i="3"/>
  <c r="B14" i="3"/>
  <c r="B9" i="3"/>
  <c r="C61" i="3"/>
  <c r="C57" i="3"/>
  <c r="C53" i="3"/>
  <c r="C51" i="3"/>
  <c r="C49" i="3"/>
  <c r="C47" i="3"/>
  <c r="C46" i="3"/>
  <c r="C44" i="3"/>
  <c r="C42" i="3"/>
  <c r="C40" i="3"/>
  <c r="C38" i="3"/>
  <c r="C36" i="3"/>
  <c r="C34" i="3"/>
  <c r="C32" i="3"/>
  <c r="C30" i="3"/>
  <c r="C28" i="3"/>
  <c r="C26" i="3"/>
  <c r="C24" i="3"/>
  <c r="C22" i="3"/>
  <c r="C20" i="3"/>
  <c r="C18" i="3"/>
  <c r="C16" i="3"/>
  <c r="C14" i="3"/>
  <c r="C12" i="3"/>
  <c r="C10" i="3"/>
  <c r="C8" i="3"/>
  <c r="C7" i="3"/>
  <c r="C6" i="3"/>
  <c r="C5" i="3"/>
  <c r="C4" i="3"/>
  <c r="C3" i="3"/>
  <c r="B39" i="3"/>
  <c r="B31" i="3"/>
  <c r="B23" i="3"/>
  <c r="B15" i="3"/>
  <c r="B6" i="3"/>
  <c r="C56" i="3"/>
  <c r="B47" i="3"/>
  <c r="B41" i="3"/>
  <c r="B33" i="3"/>
  <c r="B25" i="3"/>
  <c r="B17" i="3"/>
  <c r="B7" i="3"/>
  <c r="B44" i="3"/>
  <c r="B36" i="3"/>
  <c r="B28" i="3"/>
  <c r="B20" i="3"/>
  <c r="B11" i="3"/>
  <c r="B2" i="3"/>
  <c r="B48" i="3"/>
  <c r="B40" i="3"/>
  <c r="B32" i="3"/>
  <c r="B24" i="3"/>
  <c r="B16" i="3"/>
  <c r="B5" i="3"/>
  <c r="B45" i="3"/>
  <c r="B38" i="3"/>
  <c r="B30" i="3"/>
  <c r="B22" i="3"/>
  <c r="B13" i="3"/>
  <c r="B8" i="3"/>
  <c r="C60" i="3"/>
  <c r="C54" i="3"/>
  <c r="O56" i="3" a="1"/>
  <c r="O56" i="3" s="1"/>
  <c r="U56" i="3" a="1"/>
  <c r="U56" i="3" s="1"/>
  <c r="X56" i="3" a="1"/>
  <c r="X56" i="3" s="1"/>
  <c r="Z56" i="3" a="1"/>
  <c r="Z56" i="3" s="1"/>
  <c r="S56" i="3" a="1"/>
  <c r="S56" i="3" s="1"/>
  <c r="AC56" i="3" a="1"/>
  <c r="AC56" i="3" s="1"/>
  <c r="AE56" i="3" a="1"/>
  <c r="AE56" i="3" s="1"/>
  <c r="V56" i="3" a="1"/>
  <c r="V56" i="3" s="1"/>
  <c r="F56" i="3" a="1"/>
  <c r="F56" i="3" s="1"/>
  <c r="I56" i="3" a="1"/>
  <c r="I56" i="3" s="1"/>
  <c r="L56" i="3" a="1"/>
  <c r="L56" i="3" s="1"/>
  <c r="Y56" i="3" a="1"/>
  <c r="Y56" i="3" s="1"/>
  <c r="AB56" i="3" a="1"/>
  <c r="AB56" i="3" s="1"/>
  <c r="AD56" i="3" a="1"/>
  <c r="AD56" i="3" s="1"/>
  <c r="AG56" i="3" a="1"/>
  <c r="AG56" i="3" s="1"/>
  <c r="AA58" i="3" a="1"/>
  <c r="AA58" i="3" s="1"/>
  <c r="I58" i="3" a="1"/>
  <c r="I58" i="3" s="1"/>
  <c r="J58" i="3" a="1"/>
  <c r="J58" i="3" s="1"/>
  <c r="K58" i="3" a="1"/>
  <c r="K58" i="3" s="1"/>
  <c r="L58" i="3" a="1"/>
  <c r="L58" i="3" s="1"/>
  <c r="M58" i="3" a="1"/>
  <c r="M58" i="3" s="1"/>
  <c r="S57" i="3" a="1"/>
  <c r="S57" i="3" s="1"/>
  <c r="J59" i="3" a="1"/>
  <c r="J59" i="3" s="1"/>
  <c r="I59" i="3" a="1"/>
  <c r="I59" i="3" s="1"/>
  <c r="V58" i="3" a="1"/>
  <c r="V58" i="3" s="1"/>
  <c r="H58" i="3" a="1"/>
  <c r="H58" i="3" s="1"/>
  <c r="R58" i="3" a="1"/>
  <c r="R58" i="3" s="1"/>
  <c r="M59" i="3" a="1"/>
  <c r="M59" i="3" s="1"/>
  <c r="L59" i="3" a="1"/>
  <c r="L59" i="3" s="1"/>
  <c r="K59" i="3" a="1"/>
  <c r="K59" i="3" s="1"/>
  <c r="I57" i="3" a="1"/>
  <c r="I57" i="3" s="1"/>
  <c r="L57" i="3" a="1"/>
  <c r="L57" i="3" s="1"/>
  <c r="O57" i="3" a="1"/>
  <c r="O57" i="3" s="1"/>
  <c r="R57" i="3" a="1"/>
  <c r="R57" i="3" s="1"/>
  <c r="X57" i="3" a="1"/>
  <c r="X57" i="3" s="1"/>
  <c r="AA57" i="3" a="1"/>
  <c r="AA57" i="3" s="1"/>
  <c r="D57" i="3" a="1"/>
  <c r="D57" i="3" s="1"/>
  <c r="G57" i="3" a="1"/>
  <c r="G57" i="3" s="1"/>
  <c r="J57" i="3" a="1"/>
  <c r="J57" i="3" s="1"/>
  <c r="M57" i="3" a="1"/>
  <c r="M57" i="3" s="1"/>
  <c r="P57" i="3" a="1"/>
  <c r="P57" i="3" s="1"/>
  <c r="Q57" i="3" a="1"/>
  <c r="Q57" i="3" s="1"/>
  <c r="S58" i="3" a="1"/>
  <c r="S58" i="3" s="1"/>
  <c r="U57" i="3" a="1"/>
  <c r="U57" i="3" s="1"/>
  <c r="T58" i="3" a="1"/>
  <c r="T58" i="3" s="1"/>
  <c r="E58" i="3" a="1"/>
  <c r="E58" i="3" s="1"/>
  <c r="AB58" i="3" a="1"/>
  <c r="AB58" i="3" s="1"/>
  <c r="X58" i="3" a="1"/>
  <c r="X58" i="3" s="1"/>
  <c r="Y58" i="3" a="1"/>
  <c r="Y58" i="3" s="1"/>
  <c r="Z58" i="3" a="1"/>
  <c r="Z58" i="3" s="1"/>
  <c r="N59" i="3" a="1"/>
  <c r="N59" i="3" s="1"/>
  <c r="O59" i="3" a="1"/>
  <c r="O59" i="3" s="1"/>
  <c r="P59" i="3" a="1"/>
  <c r="P59" i="3" s="1"/>
  <c r="E59" i="3" a="1"/>
  <c r="E59" i="3" s="1"/>
  <c r="F59" i="3" a="1"/>
  <c r="F59" i="3" s="1"/>
  <c r="G59" i="3" a="1"/>
  <c r="G59" i="3" s="1"/>
  <c r="H59" i="3" a="1"/>
  <c r="H59" i="3" s="1"/>
  <c r="N60" i="3" a="1"/>
  <c r="N60" i="3" s="1"/>
  <c r="R60" i="3" a="1"/>
  <c r="R60" i="3" s="1"/>
  <c r="J60" i="3" a="1"/>
  <c r="J60" i="3" s="1"/>
  <c r="G60" i="3" a="1"/>
  <c r="G60" i="3" s="1"/>
  <c r="D60" i="3" a="1"/>
  <c r="D60" i="3" s="1"/>
  <c r="M61" i="3" a="1"/>
  <c r="M61" i="3" s="1"/>
  <c r="M60" i="3" a="1"/>
  <c r="M60" i="3" s="1"/>
  <c r="P60" i="3" a="1"/>
  <c r="P60" i="3" s="1"/>
  <c r="K60" i="3" a="1"/>
  <c r="K60" i="3" s="1"/>
  <c r="O60" i="3" a="1"/>
  <c r="O60" i="3" s="1"/>
  <c r="Q60" i="3" a="1"/>
  <c r="Q60" i="3" s="1"/>
  <c r="I60" i="3" a="1"/>
  <c r="I60" i="3" s="1"/>
  <c r="L60" i="3" a="1"/>
  <c r="L60" i="3" s="1"/>
  <c r="N61" i="3" a="1"/>
  <c r="N61" i="3" s="1"/>
  <c r="O61" i="3" a="1"/>
  <c r="O61" i="3" s="1"/>
  <c r="P61" i="3" a="1"/>
  <c r="P61" i="3" s="1"/>
  <c r="Q61" i="3" a="1"/>
  <c r="Q61" i="3" s="1"/>
  <c r="R61" i="3" a="1"/>
  <c r="R61" i="3" s="1"/>
  <c r="S61" i="3" a="1"/>
  <c r="S61" i="3" s="1"/>
  <c r="AG61" i="3" a="1"/>
  <c r="AG61" i="3" s="1"/>
  <c r="D61" i="3" a="1"/>
  <c r="D61" i="3" s="1"/>
  <c r="E61" i="3" a="1"/>
  <c r="E61" i="3" s="1"/>
  <c r="F61" i="3" a="1"/>
  <c r="F61" i="3" s="1"/>
  <c r="G61" i="3" a="1"/>
  <c r="G61" i="3" s="1"/>
  <c r="H61" i="3" a="1"/>
  <c r="H61" i="3" s="1"/>
  <c r="I61" i="3" a="1"/>
  <c r="I61" i="3" s="1"/>
  <c r="J61" i="3" a="1"/>
  <c r="J61" i="3" s="1"/>
  <c r="K61" i="3" a="1"/>
  <c r="K61" i="3" s="1"/>
  <c r="L61" i="3" a="1"/>
  <c r="L61" i="3" s="1"/>
  <c r="E56" i="3" a="1"/>
  <c r="E56" i="3" s="1"/>
  <c r="G56" i="3" a="1"/>
  <c r="G56" i="3" s="1"/>
  <c r="J56" i="3" a="1"/>
  <c r="J56" i="3" s="1"/>
  <c r="Q59" i="3" a="1"/>
  <c r="Q59" i="3" s="1"/>
  <c r="R59" i="3" a="1"/>
  <c r="R59" i="3" s="1"/>
  <c r="S59" i="3" a="1"/>
  <c r="S59" i="3" s="1"/>
  <c r="T59" i="3" a="1"/>
  <c r="T59" i="3" s="1"/>
  <c r="U59" i="3" a="1"/>
  <c r="U59" i="3" s="1"/>
  <c r="W59" i="3" a="1"/>
  <c r="W59" i="3" s="1"/>
  <c r="X59" i="3" a="1"/>
  <c r="X59" i="3" s="1"/>
  <c r="Y59" i="3" a="1"/>
  <c r="Y59" i="3" s="1"/>
  <c r="Z59" i="3" a="1"/>
  <c r="Z59" i="3" s="1"/>
  <c r="M56" i="3" a="1"/>
  <c r="M56" i="3" s="1"/>
  <c r="P56" i="3" a="1"/>
  <c r="P56" i="3" s="1"/>
  <c r="R56" i="3" a="1"/>
  <c r="R56" i="3" s="1"/>
  <c r="E57" i="3" a="1"/>
  <c r="E57" i="3" s="1"/>
  <c r="H57" i="3" a="1"/>
  <c r="H57" i="3" s="1"/>
  <c r="K57" i="3" a="1"/>
  <c r="K57" i="3" s="1"/>
  <c r="N57" i="3" a="1"/>
  <c r="N57" i="3" s="1"/>
  <c r="F57" i="3" a="1"/>
  <c r="F57" i="3" s="1"/>
  <c r="W57" i="3" a="1"/>
  <c r="W57" i="3" s="1"/>
  <c r="E60" i="3" a="1"/>
  <c r="E60" i="3" s="1"/>
  <c r="F60" i="3" a="1"/>
  <c r="F60" i="3" s="1"/>
  <c r="S60" i="3" a="1"/>
  <c r="S60" i="3" s="1"/>
  <c r="T60" i="3" a="1"/>
  <c r="T60" i="3" s="1"/>
  <c r="U60" i="3" a="1"/>
  <c r="U60" i="3" s="1"/>
  <c r="V60" i="3" a="1"/>
  <c r="V60" i="3" s="1"/>
  <c r="W60" i="3" a="1"/>
  <c r="W60" i="3" s="1"/>
  <c r="X60" i="3" a="1"/>
  <c r="X60" i="3" s="1"/>
  <c r="Z57" i="3" a="1"/>
  <c r="Z57" i="3" s="1"/>
  <c r="Z60" i="3" a="1"/>
  <c r="Z60" i="3" s="1"/>
  <c r="AA60" i="3" a="1"/>
  <c r="AA60" i="3" s="1"/>
  <c r="AC57" i="3" a="1"/>
  <c r="AC57" i="3" s="1"/>
  <c r="AE57" i="3" a="1"/>
  <c r="AE57" i="3" s="1"/>
  <c r="V57" i="3" a="1"/>
  <c r="V57" i="3" s="1"/>
  <c r="Y57" i="3" a="1"/>
  <c r="Y57" i="3" s="1"/>
  <c r="AB57" i="3" a="1"/>
  <c r="AB57" i="3" s="1"/>
  <c r="AD57" i="3" a="1"/>
  <c r="AD57" i="3" s="1"/>
  <c r="AF57" i="3" a="1"/>
  <c r="AF57" i="3" s="1"/>
  <c r="AG57" i="3" a="1"/>
  <c r="AG57" i="3" s="1"/>
  <c r="T57" i="3" a="1"/>
  <c r="T57" i="3" s="1"/>
  <c r="W58" i="3" a="1"/>
  <c r="W58" i="3" s="1"/>
  <c r="F58" i="3" a="1"/>
  <c r="F58" i="3" s="1"/>
  <c r="N58" i="3" a="1"/>
  <c r="N58" i="3" s="1"/>
  <c r="O58" i="3" a="1"/>
  <c r="O58" i="3" s="1"/>
  <c r="T61" i="3" a="1"/>
  <c r="T61" i="3" s="1"/>
  <c r="U61" i="3" a="1"/>
  <c r="U61" i="3" s="1"/>
  <c r="Y60" i="3" a="1"/>
  <c r="Y60" i="3" s="1"/>
  <c r="W61" i="3" a="1"/>
  <c r="W61" i="3" s="1"/>
  <c r="X61" i="3" a="1"/>
  <c r="X61" i="3" s="1"/>
  <c r="Y61" i="3" a="1"/>
  <c r="Y61" i="3" s="1"/>
  <c r="Z61" i="3" a="1"/>
  <c r="Z61" i="3" s="1"/>
  <c r="AA61" i="3" a="1"/>
  <c r="AA61" i="3" s="1"/>
  <c r="AB61" i="3" a="1"/>
  <c r="AB61" i="3" s="1"/>
  <c r="AC61" i="3" a="1"/>
  <c r="AC61" i="3" s="1"/>
  <c r="AD61" i="3" a="1"/>
  <c r="AD61" i="3" s="1"/>
  <c r="AE61" i="3" a="1"/>
  <c r="AE61" i="3" s="1"/>
  <c r="P58" i="3" a="1"/>
  <c r="P58" i="3" s="1"/>
  <c r="Q58" i="3" a="1"/>
  <c r="Q58" i="3" s="1"/>
  <c r="AC58" i="3" a="1"/>
  <c r="AC58" i="3" s="1"/>
  <c r="AD58" i="3" a="1"/>
  <c r="AD58" i="3" s="1"/>
  <c r="AE58" i="3" a="1"/>
  <c r="AE58" i="3" s="1"/>
  <c r="AF58" i="3" a="1"/>
  <c r="AF58" i="3" s="1"/>
  <c r="AG58" i="3" a="1"/>
  <c r="AG58" i="3" s="1"/>
  <c r="D58" i="3" a="1"/>
  <c r="D58" i="3" s="1"/>
  <c r="G58" i="3" a="1"/>
  <c r="G58" i="3" s="1"/>
  <c r="AA59" i="3" a="1"/>
  <c r="AA59" i="3" s="1"/>
  <c r="V61" i="3" a="1"/>
  <c r="V61" i="3" s="1"/>
  <c r="D59" i="3" a="1"/>
  <c r="D59" i="3" s="1"/>
  <c r="AC59" i="3" a="1"/>
  <c r="AC59" i="3" s="1"/>
  <c r="V59" i="3" a="1"/>
  <c r="V59" i="3" s="1"/>
  <c r="AF61" i="3" a="1"/>
  <c r="AF61" i="3" s="1"/>
  <c r="AD59" i="3" a="1"/>
  <c r="AD59" i="3" s="1"/>
  <c r="AF59" i="3" a="1"/>
  <c r="AF59" i="3" s="1"/>
  <c r="AB60" i="3" a="1"/>
  <c r="AB60" i="3" s="1"/>
  <c r="AC60" i="3" a="1"/>
  <c r="AC60" i="3" s="1"/>
  <c r="AG59" i="3" a="1"/>
  <c r="AG59" i="3" s="1"/>
  <c r="U58" i="3" a="1"/>
  <c r="U58" i="3" s="1"/>
  <c r="AE59" i="3" a="1"/>
  <c r="AE59" i="3" s="1"/>
  <c r="H60" i="3" a="1"/>
  <c r="H60" i="3" s="1"/>
  <c r="AG60" i="3" a="1"/>
  <c r="AG60" i="3" s="1"/>
  <c r="AD60" i="3" a="1"/>
  <c r="AD60" i="3" s="1"/>
  <c r="AE60" i="3" a="1"/>
  <c r="AE60" i="3" s="1"/>
  <c r="AF60" i="3" a="1"/>
  <c r="AF60" i="3" s="1"/>
  <c r="D2" i="3" a="1"/>
  <c r="D2" i="3" s="1"/>
  <c r="AG2" i="3" a="1"/>
  <c r="AG2" i="3" s="1"/>
  <c r="AF2" i="3" a="1"/>
  <c r="AF2" i="3" s="1"/>
  <c r="AE2" i="3" a="1"/>
  <c r="AE2" i="3" s="1"/>
  <c r="AD2" i="3" a="1"/>
  <c r="AD2" i="3" s="1"/>
  <c r="AC2" i="3" a="1"/>
  <c r="AC2" i="3" s="1"/>
  <c r="AB2" i="3" a="1"/>
  <c r="AB2" i="3" s="1"/>
  <c r="AA2" i="3" a="1"/>
  <c r="AA2" i="3" s="1"/>
  <c r="Z2" i="3" a="1"/>
  <c r="Z2" i="3" s="1"/>
  <c r="Y2" i="3" a="1"/>
  <c r="Y2" i="3" s="1"/>
  <c r="X2" i="3" a="1"/>
  <c r="X2" i="3" s="1"/>
  <c r="W2" i="3" a="1"/>
  <c r="W2" i="3" s="1"/>
  <c r="V2" i="3" a="1"/>
  <c r="V2" i="3" s="1"/>
  <c r="U2" i="3" a="1"/>
  <c r="U2" i="3" s="1"/>
  <c r="T2" i="3" a="1"/>
  <c r="T2" i="3" s="1"/>
  <c r="S2" i="3" a="1"/>
  <c r="S2" i="3" s="1"/>
  <c r="R2" i="3" a="1"/>
  <c r="R2" i="3" s="1"/>
  <c r="Q2" i="3" a="1"/>
  <c r="Q2" i="3" s="1"/>
  <c r="P2" i="3" a="1"/>
  <c r="P2" i="3" s="1"/>
  <c r="O2" i="3" a="1"/>
  <c r="O2" i="3" s="1"/>
  <c r="N2" i="3" a="1"/>
  <c r="N2" i="3" s="1"/>
  <c r="M2" i="3" a="1"/>
  <c r="M2" i="3" s="1"/>
  <c r="L2" i="3" a="1"/>
  <c r="L2" i="3" s="1"/>
  <c r="K2" i="3" a="1"/>
  <c r="K2" i="3" s="1"/>
  <c r="J2" i="3" a="1"/>
  <c r="J2" i="3" s="1"/>
  <c r="I2" i="3" a="1"/>
  <c r="I2" i="3" s="1"/>
  <c r="H2" i="3" a="1"/>
  <c r="H2" i="3" s="1"/>
  <c r="G2" i="3" a="1"/>
  <c r="G2" i="3" s="1"/>
  <c r="F2" i="3" a="1"/>
  <c r="F2" i="3" s="1"/>
  <c r="E2" i="3" a="1"/>
  <c r="E2" i="3" s="1"/>
  <c r="H30" i="3" a="1"/>
  <c r="H30" i="3" s="1"/>
  <c r="D21" i="3" a="1"/>
  <c r="D21" i="3" s="1"/>
  <c r="AE20" i="3" a="1"/>
  <c r="AE20" i="3" s="1"/>
  <c r="Y20" i="3" a="1"/>
  <c r="Y20" i="3" s="1"/>
  <c r="S20" i="3" a="1"/>
  <c r="S20" i="3" s="1"/>
  <c r="M20" i="3" a="1"/>
  <c r="M20" i="3" s="1"/>
  <c r="K20" i="3" a="1"/>
  <c r="K20" i="3" s="1"/>
  <c r="E20" i="3" a="1"/>
  <c r="E20" i="3" s="1"/>
  <c r="AD19" i="3" a="1"/>
  <c r="AD19" i="3" s="1"/>
  <c r="X19" i="3" a="1"/>
  <c r="X19" i="3" s="1"/>
  <c r="R19" i="3" a="1"/>
  <c r="R19" i="3" s="1"/>
  <c r="P19" i="3" a="1"/>
  <c r="P19" i="3" s="1"/>
  <c r="J19" i="3" a="1"/>
  <c r="J19" i="3" s="1"/>
  <c r="D19" i="3" a="1"/>
  <c r="D19" i="3" s="1"/>
  <c r="AC11" i="3" a="1"/>
  <c r="AC11" i="3" s="1"/>
  <c r="AG55" i="3" a="1"/>
  <c r="AG55" i="3" s="1"/>
  <c r="AF55" i="3" a="1"/>
  <c r="AF55" i="3" s="1"/>
  <c r="AE55" i="3" a="1"/>
  <c r="AE55" i="3" s="1"/>
  <c r="AD55" i="3" a="1"/>
  <c r="AD55" i="3" s="1"/>
  <c r="AC55" i="3" a="1"/>
  <c r="AC55" i="3" s="1"/>
  <c r="AB55" i="3" a="1"/>
  <c r="AB55" i="3" s="1"/>
  <c r="AA55" i="3" a="1"/>
  <c r="AA55" i="3" s="1"/>
  <c r="Z55" i="3" a="1"/>
  <c r="Z55" i="3" s="1"/>
  <c r="Y55" i="3" a="1"/>
  <c r="Y55" i="3" s="1"/>
  <c r="X55" i="3" a="1"/>
  <c r="X55" i="3" s="1"/>
  <c r="W55" i="3" a="1"/>
  <c r="W55" i="3" s="1"/>
  <c r="V55" i="3" a="1"/>
  <c r="V55" i="3" s="1"/>
  <c r="U55" i="3" a="1"/>
  <c r="U55" i="3" s="1"/>
  <c r="T55" i="3" a="1"/>
  <c r="T55" i="3" s="1"/>
  <c r="S55" i="3" a="1"/>
  <c r="S55" i="3" s="1"/>
  <c r="R55" i="3" a="1"/>
  <c r="R55" i="3" s="1"/>
  <c r="Q55" i="3" a="1"/>
  <c r="Q55" i="3" s="1"/>
  <c r="P55" i="3" a="1"/>
  <c r="P55" i="3" s="1"/>
  <c r="O55" i="3" a="1"/>
  <c r="O55" i="3" s="1"/>
  <c r="N55" i="3" a="1"/>
  <c r="N55" i="3" s="1"/>
  <c r="M55" i="3" a="1"/>
  <c r="M55" i="3" s="1"/>
  <c r="L55" i="3" a="1"/>
  <c r="L55" i="3" s="1"/>
  <c r="K55" i="3" a="1"/>
  <c r="K55" i="3" s="1"/>
  <c r="J55" i="3" a="1"/>
  <c r="J55" i="3" s="1"/>
  <c r="I55" i="3" a="1"/>
  <c r="I55" i="3" s="1"/>
  <c r="H55" i="3" a="1"/>
  <c r="H55" i="3" s="1"/>
  <c r="G55" i="3" a="1"/>
  <c r="G55" i="3" s="1"/>
  <c r="F55" i="3" a="1"/>
  <c r="F55" i="3" s="1"/>
  <c r="E55" i="3" a="1"/>
  <c r="E55" i="3" s="1"/>
  <c r="D55" i="3" a="1"/>
  <c r="D55" i="3" s="1"/>
  <c r="AG54" i="3" a="1"/>
  <c r="AG54" i="3" s="1"/>
  <c r="AF54" i="3" a="1"/>
  <c r="AF54" i="3" s="1"/>
  <c r="AE54" i="3" a="1"/>
  <c r="AE54" i="3" s="1"/>
  <c r="AD54" i="3" a="1"/>
  <c r="AD54" i="3" s="1"/>
  <c r="AC54" i="3" a="1"/>
  <c r="AC54" i="3" s="1"/>
  <c r="AB54" i="3" a="1"/>
  <c r="AB54" i="3" s="1"/>
  <c r="AA54" i="3" a="1"/>
  <c r="AA54" i="3" s="1"/>
  <c r="Z54" i="3" a="1"/>
  <c r="Z54" i="3" s="1"/>
  <c r="Y54" i="3" a="1"/>
  <c r="Y54" i="3" s="1"/>
  <c r="X54" i="3" a="1"/>
  <c r="X54" i="3" s="1"/>
  <c r="W54" i="3" a="1"/>
  <c r="W54" i="3" s="1"/>
  <c r="V54" i="3" a="1"/>
  <c r="V54" i="3" s="1"/>
  <c r="U54" i="3" a="1"/>
  <c r="U54" i="3" s="1"/>
  <c r="T54" i="3" a="1"/>
  <c r="T54" i="3" s="1"/>
  <c r="S54" i="3" a="1"/>
  <c r="S54" i="3" s="1"/>
  <c r="R54" i="3" a="1"/>
  <c r="R54" i="3" s="1"/>
  <c r="Q54" i="3" a="1"/>
  <c r="Q54" i="3" s="1"/>
  <c r="P54" i="3" a="1"/>
  <c r="P54" i="3" s="1"/>
  <c r="O54" i="3" a="1"/>
  <c r="O54" i="3" s="1"/>
  <c r="N54" i="3" a="1"/>
  <c r="N54" i="3" s="1"/>
  <c r="M54" i="3" a="1"/>
  <c r="M54" i="3" s="1"/>
  <c r="L54" i="3" a="1"/>
  <c r="L54" i="3" s="1"/>
  <c r="K54" i="3" a="1"/>
  <c r="K54" i="3" s="1"/>
  <c r="J54" i="3" a="1"/>
  <c r="J54" i="3" s="1"/>
  <c r="I54" i="3" a="1"/>
  <c r="I54" i="3" s="1"/>
  <c r="H54" i="3" a="1"/>
  <c r="H54" i="3" s="1"/>
  <c r="G54" i="3" a="1"/>
  <c r="G54" i="3" s="1"/>
  <c r="F54" i="3" a="1"/>
  <c r="F54" i="3" s="1"/>
  <c r="E54" i="3" a="1"/>
  <c r="E54" i="3" s="1"/>
  <c r="D54" i="3" a="1"/>
  <c r="D54" i="3" s="1"/>
  <c r="AG53" i="3" a="1"/>
  <c r="AG53" i="3" s="1"/>
  <c r="AF53" i="3" a="1"/>
  <c r="AF53" i="3" s="1"/>
  <c r="AE53" i="3" a="1"/>
  <c r="AE53" i="3" s="1"/>
  <c r="AD53" i="3" a="1"/>
  <c r="AD53" i="3" s="1"/>
  <c r="AC53" i="3" a="1"/>
  <c r="AC53" i="3" s="1"/>
  <c r="AB53" i="3" a="1"/>
  <c r="AB53" i="3" s="1"/>
  <c r="AA53" i="3" a="1"/>
  <c r="AA53" i="3" s="1"/>
  <c r="Z53" i="3" a="1"/>
  <c r="Z53" i="3" s="1"/>
  <c r="Y53" i="3" a="1"/>
  <c r="Y53" i="3" s="1"/>
  <c r="X53" i="3" a="1"/>
  <c r="X53" i="3" s="1"/>
  <c r="W53" i="3" a="1"/>
  <c r="W53" i="3" s="1"/>
  <c r="V53" i="3" a="1"/>
  <c r="V53" i="3" s="1"/>
  <c r="U53" i="3" a="1"/>
  <c r="U53" i="3" s="1"/>
  <c r="T53" i="3" a="1"/>
  <c r="T53" i="3" s="1"/>
  <c r="S53" i="3" a="1"/>
  <c r="S53" i="3" s="1"/>
  <c r="R53" i="3" a="1"/>
  <c r="R53" i="3" s="1"/>
  <c r="Q53" i="3" a="1"/>
  <c r="Q53" i="3" s="1"/>
  <c r="P53" i="3" a="1"/>
  <c r="P53" i="3" s="1"/>
  <c r="O53" i="3" a="1"/>
  <c r="O53" i="3" s="1"/>
  <c r="N53" i="3" a="1"/>
  <c r="N53" i="3" s="1"/>
  <c r="M53" i="3" a="1"/>
  <c r="M53" i="3" s="1"/>
  <c r="L53" i="3" a="1"/>
  <c r="L53" i="3" s="1"/>
  <c r="K53" i="3" a="1"/>
  <c r="K53" i="3" s="1"/>
  <c r="J53" i="3" a="1"/>
  <c r="J53" i="3" s="1"/>
  <c r="I53" i="3" a="1"/>
  <c r="I53" i="3" s="1"/>
  <c r="H53" i="3" a="1"/>
  <c r="H53" i="3" s="1"/>
  <c r="G53" i="3" a="1"/>
  <c r="G53" i="3" s="1"/>
  <c r="F53" i="3" a="1"/>
  <c r="F53" i="3" s="1"/>
  <c r="E53" i="3" a="1"/>
  <c r="E53" i="3" s="1"/>
  <c r="D53" i="3" a="1"/>
  <c r="D53" i="3" s="1"/>
  <c r="AG52" i="3" a="1"/>
  <c r="AG52" i="3" s="1"/>
  <c r="AF52" i="3" a="1"/>
  <c r="AF52" i="3" s="1"/>
  <c r="AE52" i="3" a="1"/>
  <c r="AE52" i="3" s="1"/>
  <c r="AD52" i="3" a="1"/>
  <c r="AD52" i="3" s="1"/>
  <c r="AC52" i="3" a="1"/>
  <c r="AC52" i="3" s="1"/>
  <c r="AB52" i="3" a="1"/>
  <c r="AB52" i="3" s="1"/>
  <c r="AA52" i="3" a="1"/>
  <c r="AA52" i="3" s="1"/>
  <c r="Z52" i="3" a="1"/>
  <c r="Z52" i="3" s="1"/>
  <c r="Y52" i="3" a="1"/>
  <c r="Y52" i="3" s="1"/>
  <c r="X52" i="3" a="1"/>
  <c r="X52" i="3" s="1"/>
  <c r="W52" i="3" a="1"/>
  <c r="W52" i="3" s="1"/>
  <c r="V52" i="3" a="1"/>
  <c r="V52" i="3" s="1"/>
  <c r="U52" i="3" a="1"/>
  <c r="U52" i="3" s="1"/>
  <c r="T52" i="3" a="1"/>
  <c r="T52" i="3" s="1"/>
  <c r="S52" i="3" a="1"/>
  <c r="S52" i="3" s="1"/>
  <c r="R52" i="3" a="1"/>
  <c r="R52" i="3" s="1"/>
  <c r="Q52" i="3" a="1"/>
  <c r="Q52" i="3" s="1"/>
  <c r="P52" i="3" a="1"/>
  <c r="P52" i="3" s="1"/>
  <c r="O52" i="3" a="1"/>
  <c r="O52" i="3" s="1"/>
  <c r="N52" i="3" a="1"/>
  <c r="N52" i="3" s="1"/>
  <c r="M52" i="3" a="1"/>
  <c r="M52" i="3" s="1"/>
  <c r="L52" i="3" a="1"/>
  <c r="L52" i="3" s="1"/>
  <c r="K52" i="3" a="1"/>
  <c r="K52" i="3" s="1"/>
  <c r="J52" i="3" a="1"/>
  <c r="J52" i="3" s="1"/>
  <c r="I52" i="3" a="1"/>
  <c r="I52" i="3" s="1"/>
  <c r="H52" i="3" a="1"/>
  <c r="H52" i="3" s="1"/>
  <c r="G52" i="3" a="1"/>
  <c r="G52" i="3" s="1"/>
  <c r="F52" i="3" a="1"/>
  <c r="F52" i="3" s="1"/>
  <c r="E52" i="3" a="1"/>
  <c r="E52" i="3" s="1"/>
  <c r="D52" i="3" a="1"/>
  <c r="D52" i="3" s="1"/>
  <c r="AG51" i="3" a="1"/>
  <c r="AG51" i="3" s="1"/>
  <c r="AF51" i="3" a="1"/>
  <c r="AF51" i="3" s="1"/>
  <c r="AE51" i="3" a="1"/>
  <c r="AE51" i="3" s="1"/>
  <c r="AD51" i="3" a="1"/>
  <c r="AD51" i="3" s="1"/>
  <c r="AC51" i="3" a="1"/>
  <c r="AC51" i="3" s="1"/>
  <c r="AB51" i="3" a="1"/>
  <c r="AB51" i="3" s="1"/>
  <c r="AA51" i="3" a="1"/>
  <c r="AA51" i="3" s="1"/>
  <c r="Z51" i="3" a="1"/>
  <c r="Z51" i="3" s="1"/>
  <c r="Y51" i="3" a="1"/>
  <c r="Y51" i="3" s="1"/>
  <c r="X51" i="3" a="1"/>
  <c r="X51" i="3" s="1"/>
  <c r="W51" i="3" a="1"/>
  <c r="W51" i="3" s="1"/>
  <c r="V51" i="3" a="1"/>
  <c r="V51" i="3" s="1"/>
  <c r="U51" i="3" a="1"/>
  <c r="U51" i="3" s="1"/>
  <c r="T51" i="3" a="1"/>
  <c r="T51" i="3" s="1"/>
  <c r="S51" i="3" a="1"/>
  <c r="S51" i="3" s="1"/>
  <c r="R51" i="3" a="1"/>
  <c r="R51" i="3" s="1"/>
  <c r="Q51" i="3" a="1"/>
  <c r="Q51" i="3" s="1"/>
  <c r="P51" i="3" a="1"/>
  <c r="P51" i="3" s="1"/>
  <c r="O51" i="3" a="1"/>
  <c r="O51" i="3" s="1"/>
  <c r="N51" i="3" a="1"/>
  <c r="N51" i="3" s="1"/>
  <c r="M51" i="3" a="1"/>
  <c r="M51" i="3" s="1"/>
  <c r="L51" i="3" a="1"/>
  <c r="L51" i="3" s="1"/>
  <c r="K51" i="3" a="1"/>
  <c r="K51" i="3" s="1"/>
  <c r="J51" i="3" a="1"/>
  <c r="J51" i="3" s="1"/>
  <c r="I51" i="3" a="1"/>
  <c r="I51" i="3" s="1"/>
  <c r="H51" i="3" a="1"/>
  <c r="H51" i="3" s="1"/>
  <c r="G51" i="3" a="1"/>
  <c r="G51" i="3" s="1"/>
  <c r="F51" i="3" a="1"/>
  <c r="F51" i="3" s="1"/>
  <c r="E51" i="3" a="1"/>
  <c r="E51" i="3" s="1"/>
  <c r="D51" i="3" a="1"/>
  <c r="D51" i="3" s="1"/>
  <c r="AG50" i="3" a="1"/>
  <c r="AG50" i="3" s="1"/>
  <c r="AF50" i="3" a="1"/>
  <c r="AF50" i="3" s="1"/>
  <c r="AE50" i="3" a="1"/>
  <c r="AE50" i="3" s="1"/>
  <c r="AD50" i="3" a="1"/>
  <c r="AD50" i="3" s="1"/>
  <c r="AC50" i="3" a="1"/>
  <c r="AC50" i="3" s="1"/>
  <c r="AB50" i="3" a="1"/>
  <c r="AB50" i="3" s="1"/>
  <c r="AA50" i="3" a="1"/>
  <c r="AA50" i="3" s="1"/>
  <c r="Z50" i="3" a="1"/>
  <c r="Z50" i="3" s="1"/>
  <c r="Y50" i="3" a="1"/>
  <c r="Y50" i="3" s="1"/>
  <c r="X50" i="3" a="1"/>
  <c r="X50" i="3" s="1"/>
  <c r="W50" i="3" a="1"/>
  <c r="W50" i="3" s="1"/>
  <c r="V50" i="3" a="1"/>
  <c r="V50" i="3" s="1"/>
  <c r="U50" i="3" a="1"/>
  <c r="U50" i="3" s="1"/>
  <c r="T50" i="3" a="1"/>
  <c r="T50" i="3" s="1"/>
  <c r="S50" i="3" a="1"/>
  <c r="S50" i="3" s="1"/>
  <c r="R50" i="3" a="1"/>
  <c r="R50" i="3" s="1"/>
  <c r="Q50" i="3" a="1"/>
  <c r="Q50" i="3" s="1"/>
  <c r="P50" i="3" a="1"/>
  <c r="P50" i="3" s="1"/>
  <c r="O50" i="3" a="1"/>
  <c r="O50" i="3" s="1"/>
  <c r="N50" i="3" a="1"/>
  <c r="N50" i="3" s="1"/>
  <c r="M50" i="3" a="1"/>
  <c r="M50" i="3" s="1"/>
  <c r="L50" i="3" a="1"/>
  <c r="L50" i="3" s="1"/>
  <c r="K50" i="3" a="1"/>
  <c r="K50" i="3" s="1"/>
  <c r="J50" i="3" a="1"/>
  <c r="J50" i="3" s="1"/>
  <c r="I50" i="3" a="1"/>
  <c r="I50" i="3" s="1"/>
  <c r="H50" i="3" a="1"/>
  <c r="H50" i="3" s="1"/>
  <c r="G50" i="3" a="1"/>
  <c r="G50" i="3" s="1"/>
  <c r="F50" i="3" a="1"/>
  <c r="F50" i="3" s="1"/>
  <c r="E50" i="3" a="1"/>
  <c r="E50" i="3" s="1"/>
  <c r="D50" i="3" a="1"/>
  <c r="D50" i="3" s="1"/>
  <c r="AG49" i="3" a="1"/>
  <c r="AG49" i="3" s="1"/>
  <c r="AF49" i="3" a="1"/>
  <c r="AF49" i="3" s="1"/>
  <c r="AE49" i="3" a="1"/>
  <c r="AE49" i="3" s="1"/>
  <c r="AD49" i="3" a="1"/>
  <c r="AD49" i="3" s="1"/>
  <c r="AC49" i="3" a="1"/>
  <c r="AC49" i="3" s="1"/>
  <c r="AB49" i="3" a="1"/>
  <c r="AB49" i="3" s="1"/>
  <c r="AA49" i="3" a="1"/>
  <c r="AA49" i="3" s="1"/>
  <c r="Z49" i="3" a="1"/>
  <c r="Z49" i="3" s="1"/>
  <c r="Y49" i="3" a="1"/>
  <c r="Y49" i="3" s="1"/>
  <c r="X49" i="3" a="1"/>
  <c r="X49" i="3" s="1"/>
  <c r="W49" i="3" a="1"/>
  <c r="W49" i="3" s="1"/>
  <c r="V49" i="3" a="1"/>
  <c r="V49" i="3" s="1"/>
  <c r="U49" i="3" a="1"/>
  <c r="U49" i="3" s="1"/>
  <c r="T49" i="3" a="1"/>
  <c r="T49" i="3" s="1"/>
  <c r="S49" i="3" a="1"/>
  <c r="S49" i="3" s="1"/>
  <c r="R49" i="3" a="1"/>
  <c r="R49" i="3" s="1"/>
  <c r="Q49" i="3" a="1"/>
  <c r="Q49" i="3" s="1"/>
  <c r="P49" i="3" a="1"/>
  <c r="P49" i="3" s="1"/>
  <c r="O49" i="3" a="1"/>
  <c r="O49" i="3" s="1"/>
  <c r="N49" i="3" a="1"/>
  <c r="N49" i="3" s="1"/>
  <c r="M49" i="3" a="1"/>
  <c r="M49" i="3" s="1"/>
  <c r="L49" i="3" a="1"/>
  <c r="L49" i="3" s="1"/>
  <c r="K49" i="3" a="1"/>
  <c r="K49" i="3" s="1"/>
  <c r="J49" i="3" a="1"/>
  <c r="J49" i="3" s="1"/>
  <c r="I49" i="3" a="1"/>
  <c r="I49" i="3" s="1"/>
  <c r="H49" i="3" a="1"/>
  <c r="H49" i="3" s="1"/>
  <c r="G49" i="3" a="1"/>
  <c r="G49" i="3" s="1"/>
  <c r="F49" i="3" a="1"/>
  <c r="F49" i="3" s="1"/>
  <c r="E49" i="3" a="1"/>
  <c r="E49" i="3" s="1"/>
  <c r="D49" i="3" a="1"/>
  <c r="D49" i="3" s="1"/>
  <c r="AG48" i="3" a="1"/>
  <c r="AG48" i="3" s="1"/>
  <c r="AF48" i="3" a="1"/>
  <c r="AF48" i="3" s="1"/>
  <c r="AE48" i="3" a="1"/>
  <c r="AE48" i="3" s="1"/>
  <c r="AD48" i="3" a="1"/>
  <c r="AD48" i="3" s="1"/>
  <c r="AC48" i="3" a="1"/>
  <c r="AC48" i="3" s="1"/>
  <c r="AB48" i="3" a="1"/>
  <c r="AB48" i="3" s="1"/>
  <c r="AA48" i="3" a="1"/>
  <c r="AA48" i="3" s="1"/>
  <c r="Z48" i="3" a="1"/>
  <c r="Z48" i="3" s="1"/>
  <c r="Y48" i="3" a="1"/>
  <c r="Y48" i="3" s="1"/>
  <c r="K30" i="3" a="1"/>
  <c r="K30" i="3" s="1"/>
  <c r="E21" i="3" a="1"/>
  <c r="E21" i="3" s="1"/>
  <c r="AA20" i="3" a="1"/>
  <c r="AA20" i="3" s="1"/>
  <c r="U20" i="3" a="1"/>
  <c r="U20" i="3" s="1"/>
  <c r="O20" i="3" a="1"/>
  <c r="O20" i="3" s="1"/>
  <c r="J20" i="3" a="1"/>
  <c r="J20" i="3" s="1"/>
  <c r="AG19" i="3" a="1"/>
  <c r="AG19" i="3" s="1"/>
  <c r="AA19" i="3" a="1"/>
  <c r="AA19" i="3" s="1"/>
  <c r="U19" i="3" a="1"/>
  <c r="U19" i="3" s="1"/>
  <c r="L19" i="3" a="1"/>
  <c r="L19" i="3" s="1"/>
  <c r="F19" i="3" a="1"/>
  <c r="F19" i="3" s="1"/>
  <c r="AC18" i="3" a="1"/>
  <c r="AC18" i="3" s="1"/>
  <c r="W48" i="3" a="1"/>
  <c r="W48" i="3" s="1"/>
  <c r="V48" i="3" a="1"/>
  <c r="V48" i="3" s="1"/>
  <c r="T48" i="3" a="1"/>
  <c r="T48" i="3" s="1"/>
  <c r="S48" i="3" a="1"/>
  <c r="S48" i="3" s="1"/>
  <c r="R48" i="3" a="1"/>
  <c r="R48" i="3" s="1"/>
  <c r="Q48" i="3" a="1"/>
  <c r="Q48" i="3" s="1"/>
  <c r="P48" i="3" a="1"/>
  <c r="P48" i="3" s="1"/>
  <c r="O48" i="3" a="1"/>
  <c r="O48" i="3" s="1"/>
  <c r="N48" i="3" a="1"/>
  <c r="N48" i="3" s="1"/>
  <c r="M48" i="3" a="1"/>
  <c r="M48" i="3" s="1"/>
  <c r="L48" i="3" a="1"/>
  <c r="L48" i="3" s="1"/>
  <c r="K48" i="3" a="1"/>
  <c r="K48" i="3" s="1"/>
  <c r="J48" i="3" a="1"/>
  <c r="J48" i="3" s="1"/>
  <c r="I48" i="3" a="1"/>
  <c r="I48" i="3" s="1"/>
  <c r="H48" i="3" a="1"/>
  <c r="H48" i="3" s="1"/>
  <c r="G48" i="3" a="1"/>
  <c r="G48" i="3" s="1"/>
  <c r="F48" i="3" a="1"/>
  <c r="F48" i="3" s="1"/>
  <c r="E48" i="3" a="1"/>
  <c r="E48" i="3" s="1"/>
  <c r="D48" i="3" a="1"/>
  <c r="D48" i="3" s="1"/>
  <c r="AG47" i="3" a="1"/>
  <c r="AG47" i="3" s="1"/>
  <c r="AF47" i="3" a="1"/>
  <c r="AF47" i="3" s="1"/>
  <c r="AE47" i="3" a="1"/>
  <c r="AE47" i="3" s="1"/>
  <c r="AD47" i="3" a="1"/>
  <c r="AD47" i="3" s="1"/>
  <c r="AC47" i="3" a="1"/>
  <c r="AC47" i="3" s="1"/>
  <c r="AB47" i="3" a="1"/>
  <c r="AB47" i="3" s="1"/>
  <c r="AA47" i="3" a="1"/>
  <c r="AA47" i="3" s="1"/>
  <c r="Z47" i="3" a="1"/>
  <c r="Z47" i="3" s="1"/>
  <c r="Y47" i="3" a="1"/>
  <c r="Y47" i="3" s="1"/>
  <c r="X47" i="3" a="1"/>
  <c r="X47" i="3" s="1"/>
  <c r="W47" i="3" a="1"/>
  <c r="W47" i="3" s="1"/>
  <c r="V47" i="3" a="1"/>
  <c r="V47" i="3" s="1"/>
  <c r="U47" i="3" a="1"/>
  <c r="U47" i="3" s="1"/>
  <c r="T47" i="3" a="1"/>
  <c r="T47" i="3" s="1"/>
  <c r="S47" i="3" a="1"/>
  <c r="S47" i="3" s="1"/>
  <c r="R47" i="3" a="1"/>
  <c r="R47" i="3" s="1"/>
  <c r="Q47" i="3" a="1"/>
  <c r="Q47" i="3" s="1"/>
  <c r="P47" i="3" a="1"/>
  <c r="P47" i="3" s="1"/>
  <c r="O47" i="3" a="1"/>
  <c r="O47" i="3" s="1"/>
  <c r="N47" i="3" a="1"/>
  <c r="N47" i="3" s="1"/>
  <c r="M47" i="3" a="1"/>
  <c r="M47" i="3" s="1"/>
  <c r="L47" i="3" a="1"/>
  <c r="L47" i="3" s="1"/>
  <c r="K47" i="3" a="1"/>
  <c r="K47" i="3" s="1"/>
  <c r="J47" i="3" a="1"/>
  <c r="J47" i="3" s="1"/>
  <c r="I47" i="3" a="1"/>
  <c r="I47" i="3" s="1"/>
  <c r="H47" i="3" a="1"/>
  <c r="H47" i="3" s="1"/>
  <c r="G47" i="3" a="1"/>
  <c r="G47" i="3" s="1"/>
  <c r="F47" i="3" a="1"/>
  <c r="F47" i="3" s="1"/>
  <c r="E47" i="3" a="1"/>
  <c r="E47" i="3" s="1"/>
  <c r="D47" i="3" a="1"/>
  <c r="D47" i="3" s="1"/>
  <c r="AG46" i="3" a="1"/>
  <c r="AG46" i="3" s="1"/>
  <c r="AF46" i="3" a="1"/>
  <c r="AF46" i="3" s="1"/>
  <c r="AE46" i="3" a="1"/>
  <c r="AE46" i="3" s="1"/>
  <c r="AD46" i="3" a="1"/>
  <c r="AD46" i="3" s="1"/>
  <c r="AC46" i="3" a="1"/>
  <c r="AC46" i="3" s="1"/>
  <c r="AB46" i="3" a="1"/>
  <c r="AB46" i="3" s="1"/>
  <c r="AA46" i="3" a="1"/>
  <c r="AA46" i="3" s="1"/>
  <c r="Z46" i="3" a="1"/>
  <c r="Z46" i="3" s="1"/>
  <c r="Y46" i="3" a="1"/>
  <c r="Y46" i="3" s="1"/>
  <c r="X46" i="3" a="1"/>
  <c r="X46" i="3" s="1"/>
  <c r="W46" i="3" a="1"/>
  <c r="W46" i="3" s="1"/>
  <c r="V46" i="3" a="1"/>
  <c r="V46" i="3" s="1"/>
  <c r="U46" i="3" a="1"/>
  <c r="U46" i="3" s="1"/>
  <c r="T46" i="3" a="1"/>
  <c r="T46" i="3" s="1"/>
  <c r="S46" i="3" a="1"/>
  <c r="S46" i="3" s="1"/>
  <c r="R46" i="3" a="1"/>
  <c r="R46" i="3" s="1"/>
  <c r="Q46" i="3" a="1"/>
  <c r="Q46" i="3" s="1"/>
  <c r="P46" i="3" a="1"/>
  <c r="P46" i="3" s="1"/>
  <c r="O46" i="3" a="1"/>
  <c r="O46" i="3" s="1"/>
  <c r="N46" i="3" a="1"/>
  <c r="N46" i="3" s="1"/>
  <c r="M46" i="3" a="1"/>
  <c r="M46" i="3" s="1"/>
  <c r="L46" i="3" a="1"/>
  <c r="L46" i="3" s="1"/>
  <c r="K46" i="3" a="1"/>
  <c r="K46" i="3" s="1"/>
  <c r="J46" i="3" a="1"/>
  <c r="J46" i="3" s="1"/>
  <c r="I46" i="3" a="1"/>
  <c r="I46" i="3" s="1"/>
  <c r="H46" i="3" a="1"/>
  <c r="H46" i="3" s="1"/>
  <c r="G46" i="3" a="1"/>
  <c r="G46" i="3" s="1"/>
  <c r="F46" i="3" a="1"/>
  <c r="F46" i="3" s="1"/>
  <c r="E46" i="3" a="1"/>
  <c r="E46" i="3" s="1"/>
  <c r="D46" i="3" a="1"/>
  <c r="D46" i="3" s="1"/>
  <c r="AG45" i="3" a="1"/>
  <c r="AG45" i="3" s="1"/>
  <c r="AF45" i="3" a="1"/>
  <c r="AF45" i="3" s="1"/>
  <c r="AE45" i="3" a="1"/>
  <c r="AE45" i="3" s="1"/>
  <c r="AD45" i="3" a="1"/>
  <c r="AD45" i="3" s="1"/>
  <c r="AC45" i="3" a="1"/>
  <c r="AC45" i="3" s="1"/>
  <c r="AB45" i="3" a="1"/>
  <c r="AB45" i="3" s="1"/>
  <c r="AA45" i="3" a="1"/>
  <c r="AA45" i="3" s="1"/>
  <c r="Z45" i="3" a="1"/>
  <c r="Z45" i="3" s="1"/>
  <c r="Y45" i="3" a="1"/>
  <c r="Y45" i="3" s="1"/>
  <c r="X45" i="3" a="1"/>
  <c r="X45" i="3" s="1"/>
  <c r="W45" i="3" a="1"/>
  <c r="W45" i="3" s="1"/>
  <c r="V45" i="3" a="1"/>
  <c r="V45" i="3" s="1"/>
  <c r="U45" i="3" a="1"/>
  <c r="U45" i="3" s="1"/>
  <c r="T45" i="3" a="1"/>
  <c r="T45" i="3" s="1"/>
  <c r="S45" i="3" a="1"/>
  <c r="S45" i="3" s="1"/>
  <c r="R45" i="3" a="1"/>
  <c r="R45" i="3" s="1"/>
  <c r="Q45" i="3" a="1"/>
  <c r="Q45" i="3" s="1"/>
  <c r="P45" i="3" a="1"/>
  <c r="P45" i="3" s="1"/>
  <c r="O45" i="3" a="1"/>
  <c r="O45" i="3" s="1"/>
  <c r="N45" i="3" a="1"/>
  <c r="N45" i="3" s="1"/>
  <c r="M45" i="3" a="1"/>
  <c r="M45" i="3" s="1"/>
  <c r="L45" i="3" a="1"/>
  <c r="L45" i="3" s="1"/>
  <c r="K45" i="3" a="1"/>
  <c r="K45" i="3" s="1"/>
  <c r="J45" i="3" a="1"/>
  <c r="J45" i="3" s="1"/>
  <c r="I45" i="3" a="1"/>
  <c r="I45" i="3" s="1"/>
  <c r="H45" i="3" a="1"/>
  <c r="H45" i="3" s="1"/>
  <c r="G45" i="3" a="1"/>
  <c r="G45" i="3" s="1"/>
  <c r="F45" i="3" a="1"/>
  <c r="F45" i="3" s="1"/>
  <c r="E45" i="3" a="1"/>
  <c r="E45" i="3" s="1"/>
  <c r="D45" i="3" a="1"/>
  <c r="D45" i="3" s="1"/>
  <c r="AG44" i="3" a="1"/>
  <c r="AG44" i="3" s="1"/>
  <c r="AF44" i="3" a="1"/>
  <c r="AF44" i="3" s="1"/>
  <c r="AE44" i="3" a="1"/>
  <c r="AE44" i="3" s="1"/>
  <c r="AD44" i="3" a="1"/>
  <c r="AD44" i="3" s="1"/>
  <c r="AC44" i="3" a="1"/>
  <c r="AC44" i="3" s="1"/>
  <c r="AB44" i="3" a="1"/>
  <c r="AB44" i="3" s="1"/>
  <c r="AA44" i="3" a="1"/>
  <c r="AA44" i="3" s="1"/>
  <c r="Z44" i="3" a="1"/>
  <c r="Z44" i="3" s="1"/>
  <c r="Y44" i="3" a="1"/>
  <c r="Y44" i="3" s="1"/>
  <c r="X44" i="3" a="1"/>
  <c r="X44" i="3" s="1"/>
  <c r="W44" i="3" a="1"/>
  <c r="W44" i="3" s="1"/>
  <c r="V44" i="3" a="1"/>
  <c r="V44" i="3" s="1"/>
  <c r="U44" i="3" a="1"/>
  <c r="U44" i="3" s="1"/>
  <c r="T44" i="3" a="1"/>
  <c r="T44" i="3" s="1"/>
  <c r="S44" i="3" a="1"/>
  <c r="S44" i="3" s="1"/>
  <c r="R44" i="3" a="1"/>
  <c r="R44" i="3" s="1"/>
  <c r="Q44" i="3" a="1"/>
  <c r="Q44" i="3" s="1"/>
  <c r="P44" i="3" a="1"/>
  <c r="P44" i="3" s="1"/>
  <c r="O44" i="3" a="1"/>
  <c r="O44" i="3" s="1"/>
  <c r="N44" i="3" a="1"/>
  <c r="N44" i="3" s="1"/>
  <c r="M44" i="3" a="1"/>
  <c r="M44" i="3" s="1"/>
  <c r="L44" i="3" a="1"/>
  <c r="L44" i="3" s="1"/>
  <c r="K44" i="3" a="1"/>
  <c r="K44" i="3" s="1"/>
  <c r="J44" i="3" a="1"/>
  <c r="J44" i="3" s="1"/>
  <c r="I44" i="3" a="1"/>
  <c r="I44" i="3" s="1"/>
  <c r="H44" i="3" a="1"/>
  <c r="H44" i="3" s="1"/>
  <c r="G44" i="3" a="1"/>
  <c r="G44" i="3" s="1"/>
  <c r="F44" i="3" a="1"/>
  <c r="F44" i="3" s="1"/>
  <c r="E44" i="3" a="1"/>
  <c r="E44" i="3" s="1"/>
  <c r="D44" i="3" a="1"/>
  <c r="D44" i="3" s="1"/>
  <c r="AG43" i="3" a="1"/>
  <c r="AG43" i="3" s="1"/>
  <c r="AF43" i="3" a="1"/>
  <c r="AF43" i="3" s="1"/>
  <c r="AE43" i="3" a="1"/>
  <c r="AE43" i="3" s="1"/>
  <c r="AD43" i="3" a="1"/>
  <c r="AD43" i="3" s="1"/>
  <c r="AC43" i="3" a="1"/>
  <c r="AC43" i="3" s="1"/>
  <c r="AB43" i="3" a="1"/>
  <c r="AB43" i="3" s="1"/>
  <c r="AA43" i="3" a="1"/>
  <c r="AA43" i="3" s="1"/>
  <c r="Z43" i="3" a="1"/>
  <c r="Z43" i="3" s="1"/>
  <c r="Y43" i="3" a="1"/>
  <c r="Y43" i="3" s="1"/>
  <c r="X43" i="3" a="1"/>
  <c r="X43" i="3" s="1"/>
  <c r="W43" i="3" a="1"/>
  <c r="W43" i="3" s="1"/>
  <c r="V43" i="3" a="1"/>
  <c r="V43" i="3" s="1"/>
  <c r="U43" i="3" a="1"/>
  <c r="U43" i="3" s="1"/>
  <c r="T43" i="3" a="1"/>
  <c r="T43" i="3" s="1"/>
  <c r="S43" i="3" a="1"/>
  <c r="S43" i="3" s="1"/>
  <c r="R43" i="3" a="1"/>
  <c r="R43" i="3" s="1"/>
  <c r="Q43" i="3" a="1"/>
  <c r="Q43" i="3" s="1"/>
  <c r="P43" i="3" a="1"/>
  <c r="P43" i="3" s="1"/>
  <c r="O43" i="3" a="1"/>
  <c r="O43" i="3" s="1"/>
  <c r="N43" i="3" a="1"/>
  <c r="N43" i="3" s="1"/>
  <c r="M43" i="3" a="1"/>
  <c r="M43" i="3" s="1"/>
  <c r="L43" i="3" a="1"/>
  <c r="L43" i="3" s="1"/>
  <c r="K43" i="3" a="1"/>
  <c r="K43" i="3" s="1"/>
  <c r="J43" i="3" a="1"/>
  <c r="J43" i="3" s="1"/>
  <c r="I43" i="3" a="1"/>
  <c r="I43" i="3" s="1"/>
  <c r="H43" i="3" a="1"/>
  <c r="H43" i="3" s="1"/>
  <c r="G43" i="3" a="1"/>
  <c r="G43" i="3" s="1"/>
  <c r="F43" i="3" a="1"/>
  <c r="F43" i="3" s="1"/>
  <c r="E43" i="3" a="1"/>
  <c r="E43" i="3" s="1"/>
  <c r="D43" i="3" a="1"/>
  <c r="D43" i="3" s="1"/>
  <c r="AG42" i="3" a="1"/>
  <c r="AG42" i="3" s="1"/>
  <c r="AF42" i="3" a="1"/>
  <c r="AF42" i="3" s="1"/>
  <c r="AE42" i="3" a="1"/>
  <c r="AE42" i="3" s="1"/>
  <c r="AD42" i="3" a="1"/>
  <c r="AD42" i="3" s="1"/>
  <c r="AC42" i="3" a="1"/>
  <c r="AC42" i="3" s="1"/>
  <c r="AB42" i="3" a="1"/>
  <c r="AB42" i="3" s="1"/>
  <c r="AA42" i="3" a="1"/>
  <c r="AA42" i="3" s="1"/>
  <c r="Z42" i="3" a="1"/>
  <c r="Z42" i="3" s="1"/>
  <c r="Y42" i="3" a="1"/>
  <c r="Y42" i="3" s="1"/>
  <c r="X42" i="3" a="1"/>
  <c r="X42" i="3" s="1"/>
  <c r="W42" i="3" a="1"/>
  <c r="W42" i="3" s="1"/>
  <c r="V42" i="3" a="1"/>
  <c r="V42" i="3" s="1"/>
  <c r="U42" i="3" a="1"/>
  <c r="U42" i="3" s="1"/>
  <c r="T42" i="3" a="1"/>
  <c r="T42" i="3" s="1"/>
  <c r="S42" i="3" a="1"/>
  <c r="S42" i="3" s="1"/>
  <c r="R42" i="3" a="1"/>
  <c r="R42" i="3" s="1"/>
  <c r="Q42" i="3" a="1"/>
  <c r="Q42" i="3" s="1"/>
  <c r="P42" i="3" a="1"/>
  <c r="P42" i="3" s="1"/>
  <c r="O42" i="3" a="1"/>
  <c r="O42" i="3" s="1"/>
  <c r="N42" i="3" a="1"/>
  <c r="N42" i="3" s="1"/>
  <c r="M42" i="3" a="1"/>
  <c r="M42" i="3" s="1"/>
  <c r="L42" i="3" a="1"/>
  <c r="L42" i="3" s="1"/>
  <c r="K42" i="3" a="1"/>
  <c r="K42" i="3" s="1"/>
  <c r="J42" i="3" a="1"/>
  <c r="J42" i="3" s="1"/>
  <c r="I42" i="3" a="1"/>
  <c r="I42" i="3" s="1"/>
  <c r="H42" i="3" a="1"/>
  <c r="H42" i="3" s="1"/>
  <c r="G42" i="3" a="1"/>
  <c r="G42" i="3" s="1"/>
  <c r="F42" i="3" a="1"/>
  <c r="F42" i="3" s="1"/>
  <c r="E42" i="3" a="1"/>
  <c r="E42" i="3" s="1"/>
  <c r="D42" i="3" a="1"/>
  <c r="D42" i="3" s="1"/>
  <c r="AG41" i="3" a="1"/>
  <c r="AG41" i="3" s="1"/>
  <c r="AF41" i="3" a="1"/>
  <c r="AF41" i="3" s="1"/>
  <c r="AE41" i="3" a="1"/>
  <c r="AE41" i="3" s="1"/>
  <c r="AD41" i="3" a="1"/>
  <c r="AD41" i="3" s="1"/>
  <c r="AC41" i="3" a="1"/>
  <c r="AC41" i="3" s="1"/>
  <c r="AB41" i="3" a="1"/>
  <c r="AB41" i="3" s="1"/>
  <c r="AA41" i="3" a="1"/>
  <c r="AA41" i="3" s="1"/>
  <c r="Z41" i="3" a="1"/>
  <c r="Z41" i="3" s="1"/>
  <c r="Y41" i="3" a="1"/>
  <c r="Y41" i="3" s="1"/>
  <c r="X41" i="3" a="1"/>
  <c r="X41" i="3" s="1"/>
  <c r="W41" i="3" a="1"/>
  <c r="W41" i="3" s="1"/>
  <c r="V41" i="3" a="1"/>
  <c r="V41" i="3" s="1"/>
  <c r="U41" i="3" a="1"/>
  <c r="U41" i="3" s="1"/>
  <c r="T41" i="3" a="1"/>
  <c r="T41" i="3" s="1"/>
  <c r="S41" i="3" a="1"/>
  <c r="S41" i="3" s="1"/>
  <c r="R41" i="3" a="1"/>
  <c r="R41" i="3" s="1"/>
  <c r="Q41" i="3" a="1"/>
  <c r="Q41" i="3" s="1"/>
  <c r="P41" i="3" a="1"/>
  <c r="P41" i="3" s="1"/>
  <c r="O41" i="3" a="1"/>
  <c r="O41" i="3" s="1"/>
  <c r="N41" i="3" a="1"/>
  <c r="N41" i="3" s="1"/>
  <c r="M41" i="3" a="1"/>
  <c r="M41" i="3" s="1"/>
  <c r="L41" i="3" a="1"/>
  <c r="L41" i="3" s="1"/>
  <c r="K41" i="3" a="1"/>
  <c r="K41" i="3" s="1"/>
  <c r="J41" i="3" a="1"/>
  <c r="J41" i="3" s="1"/>
  <c r="I41" i="3" a="1"/>
  <c r="I41" i="3" s="1"/>
  <c r="H41" i="3" a="1"/>
  <c r="H41" i="3" s="1"/>
  <c r="G41" i="3" a="1"/>
  <c r="G41" i="3" s="1"/>
  <c r="F41" i="3" a="1"/>
  <c r="F41" i="3" s="1"/>
  <c r="E41" i="3" a="1"/>
  <c r="E41" i="3" s="1"/>
  <c r="D41" i="3" a="1"/>
  <c r="D41" i="3" s="1"/>
  <c r="AG40" i="3" a="1"/>
  <c r="AG40" i="3" s="1"/>
  <c r="AF40" i="3" a="1"/>
  <c r="AF40" i="3" s="1"/>
  <c r="AE40" i="3" a="1"/>
  <c r="AE40" i="3" s="1"/>
  <c r="AD40" i="3" a="1"/>
  <c r="AD40" i="3" s="1"/>
  <c r="AC40" i="3" a="1"/>
  <c r="AC40" i="3" s="1"/>
  <c r="AB40" i="3" a="1"/>
  <c r="AB40" i="3" s="1"/>
  <c r="AA40" i="3" a="1"/>
  <c r="AA40" i="3" s="1"/>
  <c r="Z40" i="3" a="1"/>
  <c r="Z40" i="3" s="1"/>
  <c r="Y40" i="3" a="1"/>
  <c r="Y40" i="3" s="1"/>
  <c r="X40" i="3" a="1"/>
  <c r="X40" i="3" s="1"/>
  <c r="W40" i="3" a="1"/>
  <c r="W40" i="3" s="1"/>
  <c r="V40" i="3" a="1"/>
  <c r="V40" i="3" s="1"/>
  <c r="U40" i="3" a="1"/>
  <c r="U40" i="3" s="1"/>
  <c r="T40" i="3" a="1"/>
  <c r="T40" i="3" s="1"/>
  <c r="S40" i="3" a="1"/>
  <c r="S40" i="3" s="1"/>
  <c r="R40" i="3" a="1"/>
  <c r="R40" i="3" s="1"/>
  <c r="Q40" i="3" a="1"/>
  <c r="Q40" i="3" s="1"/>
  <c r="P40" i="3" a="1"/>
  <c r="P40" i="3" s="1"/>
  <c r="O40" i="3" a="1"/>
  <c r="O40" i="3" s="1"/>
  <c r="N40" i="3" a="1"/>
  <c r="N40" i="3" s="1"/>
  <c r="M40" i="3" a="1"/>
  <c r="M40" i="3" s="1"/>
  <c r="L40" i="3" a="1"/>
  <c r="L40" i="3" s="1"/>
  <c r="K40" i="3" a="1"/>
  <c r="K40" i="3" s="1"/>
  <c r="J40" i="3" a="1"/>
  <c r="J40" i="3" s="1"/>
  <c r="I40" i="3" a="1"/>
  <c r="I40" i="3" s="1"/>
  <c r="H40" i="3" a="1"/>
  <c r="H40" i="3" s="1"/>
  <c r="G40" i="3" a="1"/>
  <c r="G40" i="3" s="1"/>
  <c r="F40" i="3" a="1"/>
  <c r="F40" i="3" s="1"/>
  <c r="E40" i="3" a="1"/>
  <c r="E40" i="3" s="1"/>
  <c r="D40" i="3" a="1"/>
  <c r="D40" i="3" s="1"/>
  <c r="AG39" i="3" a="1"/>
  <c r="AG39" i="3" s="1"/>
  <c r="AF39" i="3" a="1"/>
  <c r="AF39" i="3" s="1"/>
  <c r="AE39" i="3" a="1"/>
  <c r="AE39" i="3" s="1"/>
  <c r="AD39" i="3" a="1"/>
  <c r="AD39" i="3" s="1"/>
  <c r="AC39" i="3" a="1"/>
  <c r="AC39" i="3" s="1"/>
  <c r="AB39" i="3" a="1"/>
  <c r="AB39" i="3" s="1"/>
  <c r="AA39" i="3" a="1"/>
  <c r="AA39" i="3" s="1"/>
  <c r="Z39" i="3" a="1"/>
  <c r="Z39" i="3" s="1"/>
  <c r="Y39" i="3" a="1"/>
  <c r="Y39" i="3" s="1"/>
  <c r="X39" i="3" a="1"/>
  <c r="X39" i="3" s="1"/>
  <c r="W39" i="3" a="1"/>
  <c r="W39" i="3" s="1"/>
  <c r="V39" i="3" a="1"/>
  <c r="V39" i="3" s="1"/>
  <c r="U39" i="3" a="1"/>
  <c r="U39" i="3" s="1"/>
  <c r="T39" i="3" a="1"/>
  <c r="T39" i="3" s="1"/>
  <c r="S39" i="3" a="1"/>
  <c r="S39" i="3" s="1"/>
  <c r="J30" i="3" a="1"/>
  <c r="J30" i="3" s="1"/>
  <c r="F21" i="3" a="1"/>
  <c r="F21" i="3" s="1"/>
  <c r="AC20" i="3" a="1"/>
  <c r="AC20" i="3" s="1"/>
  <c r="X20" i="3" a="1"/>
  <c r="X20" i="3" s="1"/>
  <c r="Q20" i="3" a="1"/>
  <c r="Q20" i="3" s="1"/>
  <c r="I20" i="3" a="1"/>
  <c r="I20" i="3" s="1"/>
  <c r="D20" i="3" a="1"/>
  <c r="D20" i="3" s="1"/>
  <c r="AB19" i="3" a="1"/>
  <c r="AB19" i="3" s="1"/>
  <c r="V19" i="3" a="1"/>
  <c r="V19" i="3" s="1"/>
  <c r="O19" i="3" a="1"/>
  <c r="O19" i="3" s="1"/>
  <c r="I19" i="3" a="1"/>
  <c r="I19" i="3" s="1"/>
  <c r="AF18" i="3" a="1"/>
  <c r="AF18" i="3" s="1"/>
  <c r="X48" i="3" a="1"/>
  <c r="X48" i="3" s="1"/>
  <c r="U48" i="3" a="1"/>
  <c r="U48" i="3" s="1"/>
  <c r="R39" i="3" a="1"/>
  <c r="R39" i="3" s="1"/>
  <c r="Q39" i="3" a="1"/>
  <c r="Q39" i="3" s="1"/>
  <c r="P39" i="3" a="1"/>
  <c r="P39" i="3" s="1"/>
  <c r="O39" i="3" a="1"/>
  <c r="O39" i="3" s="1"/>
  <c r="N39" i="3" a="1"/>
  <c r="N39" i="3" s="1"/>
  <c r="M39" i="3" a="1"/>
  <c r="M39" i="3" s="1"/>
  <c r="L39" i="3" a="1"/>
  <c r="L39" i="3" s="1"/>
  <c r="K39" i="3" a="1"/>
  <c r="K39" i="3" s="1"/>
  <c r="J39" i="3" a="1"/>
  <c r="J39" i="3" s="1"/>
  <c r="I39" i="3" a="1"/>
  <c r="I39" i="3" s="1"/>
  <c r="H39" i="3" a="1"/>
  <c r="H39" i="3" s="1"/>
  <c r="G39" i="3" a="1"/>
  <c r="G39" i="3" s="1"/>
  <c r="F39" i="3" a="1"/>
  <c r="F39" i="3" s="1"/>
  <c r="E39" i="3" a="1"/>
  <c r="E39" i="3" s="1"/>
  <c r="D39" i="3" a="1"/>
  <c r="D39" i="3" s="1"/>
  <c r="AG38" i="3" a="1"/>
  <c r="AG38" i="3" s="1"/>
  <c r="AF38" i="3" a="1"/>
  <c r="AF38" i="3" s="1"/>
  <c r="AE38" i="3" a="1"/>
  <c r="AE38" i="3" s="1"/>
  <c r="AD38" i="3" a="1"/>
  <c r="AD38" i="3" s="1"/>
  <c r="AC38" i="3" a="1"/>
  <c r="AC38" i="3" s="1"/>
  <c r="AB38" i="3" a="1"/>
  <c r="AB38" i="3" s="1"/>
  <c r="AA38" i="3" a="1"/>
  <c r="AA38" i="3" s="1"/>
  <c r="Z38" i="3" a="1"/>
  <c r="Z38" i="3" s="1"/>
  <c r="Y38" i="3" a="1"/>
  <c r="Y38" i="3" s="1"/>
  <c r="X38" i="3" a="1"/>
  <c r="X38" i="3" s="1"/>
  <c r="W38" i="3" a="1"/>
  <c r="W38" i="3" s="1"/>
  <c r="V38" i="3" a="1"/>
  <c r="V38" i="3" s="1"/>
  <c r="U38" i="3" a="1"/>
  <c r="U38" i="3" s="1"/>
  <c r="T38" i="3" a="1"/>
  <c r="T38" i="3" s="1"/>
  <c r="S38" i="3" a="1"/>
  <c r="S38" i="3" s="1"/>
  <c r="R38" i="3" a="1"/>
  <c r="R38" i="3" s="1"/>
  <c r="Q38" i="3" a="1"/>
  <c r="Q38" i="3" s="1"/>
  <c r="P38" i="3" a="1"/>
  <c r="P38" i="3" s="1"/>
  <c r="O38" i="3" a="1"/>
  <c r="O38" i="3" s="1"/>
  <c r="N38" i="3" a="1"/>
  <c r="N38" i="3" s="1"/>
  <c r="M38" i="3" a="1"/>
  <c r="M38" i="3" s="1"/>
  <c r="L38" i="3" a="1"/>
  <c r="L38" i="3" s="1"/>
  <c r="K38" i="3" a="1"/>
  <c r="K38" i="3" s="1"/>
  <c r="J38" i="3" a="1"/>
  <c r="J38" i="3" s="1"/>
  <c r="I38" i="3" a="1"/>
  <c r="I38" i="3" s="1"/>
  <c r="H38" i="3" a="1"/>
  <c r="H38" i="3" s="1"/>
  <c r="G38" i="3" a="1"/>
  <c r="G38" i="3" s="1"/>
  <c r="F38" i="3" a="1"/>
  <c r="F38" i="3" s="1"/>
  <c r="E38" i="3" a="1"/>
  <c r="E38" i="3" s="1"/>
  <c r="D38" i="3" a="1"/>
  <c r="D38" i="3" s="1"/>
  <c r="AG37" i="3" a="1"/>
  <c r="AG37" i="3" s="1"/>
  <c r="AF37" i="3" a="1"/>
  <c r="AF37" i="3" s="1"/>
  <c r="AE37" i="3" a="1"/>
  <c r="AE37" i="3" s="1"/>
  <c r="AD37" i="3" a="1"/>
  <c r="AD37" i="3" s="1"/>
  <c r="AC37" i="3" a="1"/>
  <c r="AC37" i="3" s="1"/>
  <c r="AB37" i="3" a="1"/>
  <c r="AB37" i="3" s="1"/>
  <c r="AA37" i="3" a="1"/>
  <c r="AA37" i="3" s="1"/>
  <c r="Z37" i="3" a="1"/>
  <c r="Z37" i="3" s="1"/>
  <c r="Y37" i="3" a="1"/>
  <c r="Y37" i="3" s="1"/>
  <c r="X37" i="3" a="1"/>
  <c r="X37" i="3" s="1"/>
  <c r="W37" i="3" a="1"/>
  <c r="W37" i="3" s="1"/>
  <c r="V37" i="3" a="1"/>
  <c r="V37" i="3" s="1"/>
  <c r="U37" i="3" a="1"/>
  <c r="U37" i="3" s="1"/>
  <c r="T37" i="3" a="1"/>
  <c r="T37" i="3" s="1"/>
  <c r="S37" i="3" a="1"/>
  <c r="S37" i="3" s="1"/>
  <c r="R37" i="3" a="1"/>
  <c r="R37" i="3" s="1"/>
  <c r="Q37" i="3" a="1"/>
  <c r="Q37" i="3" s="1"/>
  <c r="P37" i="3" a="1"/>
  <c r="P37" i="3" s="1"/>
  <c r="O37" i="3" a="1"/>
  <c r="O37" i="3" s="1"/>
  <c r="N37" i="3" a="1"/>
  <c r="N37" i="3" s="1"/>
  <c r="M37" i="3" a="1"/>
  <c r="M37" i="3" s="1"/>
  <c r="L37" i="3" a="1"/>
  <c r="L37" i="3" s="1"/>
  <c r="K37" i="3" a="1"/>
  <c r="K37" i="3" s="1"/>
  <c r="J37" i="3" a="1"/>
  <c r="J37" i="3" s="1"/>
  <c r="I37" i="3" a="1"/>
  <c r="I37" i="3" s="1"/>
  <c r="H37" i="3" a="1"/>
  <c r="H37" i="3" s="1"/>
  <c r="G37" i="3" a="1"/>
  <c r="G37" i="3" s="1"/>
  <c r="F37" i="3" a="1"/>
  <c r="F37" i="3" s="1"/>
  <c r="E37" i="3" a="1"/>
  <c r="E37" i="3" s="1"/>
  <c r="D37" i="3" a="1"/>
  <c r="D37" i="3" s="1"/>
  <c r="AG36" i="3" a="1"/>
  <c r="AG36" i="3" s="1"/>
  <c r="AF36" i="3" a="1"/>
  <c r="AF36" i="3" s="1"/>
  <c r="AE36" i="3" a="1"/>
  <c r="AE36" i="3" s="1"/>
  <c r="AD36" i="3" a="1"/>
  <c r="AD36" i="3" s="1"/>
  <c r="AC36" i="3" a="1"/>
  <c r="AC36" i="3" s="1"/>
  <c r="AB36" i="3" a="1"/>
  <c r="AB36" i="3" s="1"/>
  <c r="AA36" i="3" a="1"/>
  <c r="AA36" i="3" s="1"/>
  <c r="Z36" i="3" a="1"/>
  <c r="Z36" i="3" s="1"/>
  <c r="Y36" i="3" a="1"/>
  <c r="Y36" i="3" s="1"/>
  <c r="X36" i="3" a="1"/>
  <c r="X36" i="3" s="1"/>
  <c r="W36" i="3" a="1"/>
  <c r="W36" i="3" s="1"/>
  <c r="V36" i="3" a="1"/>
  <c r="V36" i="3" s="1"/>
  <c r="U36" i="3" a="1"/>
  <c r="U36" i="3" s="1"/>
  <c r="T36" i="3" a="1"/>
  <c r="T36" i="3" s="1"/>
  <c r="S36" i="3" a="1"/>
  <c r="S36" i="3" s="1"/>
  <c r="R36" i="3" a="1"/>
  <c r="R36" i="3" s="1"/>
  <c r="Q36" i="3" a="1"/>
  <c r="Q36" i="3" s="1"/>
  <c r="P36" i="3" a="1"/>
  <c r="P36" i="3" s="1"/>
  <c r="O36" i="3" a="1"/>
  <c r="O36" i="3" s="1"/>
  <c r="N36" i="3" a="1"/>
  <c r="N36" i="3" s="1"/>
  <c r="M36" i="3" a="1"/>
  <c r="M36" i="3" s="1"/>
  <c r="L36" i="3" a="1"/>
  <c r="L36" i="3" s="1"/>
  <c r="K36" i="3" a="1"/>
  <c r="K36" i="3" s="1"/>
  <c r="J36" i="3" a="1"/>
  <c r="J36" i="3" s="1"/>
  <c r="I36" i="3" a="1"/>
  <c r="I36" i="3" s="1"/>
  <c r="H36" i="3" a="1"/>
  <c r="H36" i="3" s="1"/>
  <c r="G36" i="3" a="1"/>
  <c r="G36" i="3" s="1"/>
  <c r="F36" i="3" a="1"/>
  <c r="F36" i="3" s="1"/>
  <c r="E36" i="3" a="1"/>
  <c r="E36" i="3" s="1"/>
  <c r="D36" i="3" a="1"/>
  <c r="D36" i="3" s="1"/>
  <c r="AG35" i="3" a="1"/>
  <c r="AG35" i="3" s="1"/>
  <c r="AF35" i="3" a="1"/>
  <c r="AF35" i="3" s="1"/>
  <c r="AE35" i="3" a="1"/>
  <c r="AE35" i="3" s="1"/>
  <c r="AD35" i="3" a="1"/>
  <c r="AD35" i="3" s="1"/>
  <c r="AC35" i="3" a="1"/>
  <c r="AC35" i="3" s="1"/>
  <c r="AB35" i="3" a="1"/>
  <c r="AB35" i="3" s="1"/>
  <c r="AA35" i="3" a="1"/>
  <c r="AA35" i="3" s="1"/>
  <c r="Z35" i="3" a="1"/>
  <c r="Z35" i="3" s="1"/>
  <c r="Y35" i="3" a="1"/>
  <c r="Y35" i="3" s="1"/>
  <c r="X35" i="3" a="1"/>
  <c r="X35" i="3" s="1"/>
  <c r="W35" i="3" a="1"/>
  <c r="W35" i="3" s="1"/>
  <c r="V35" i="3" a="1"/>
  <c r="V35" i="3" s="1"/>
  <c r="U35" i="3" a="1"/>
  <c r="U35" i="3" s="1"/>
  <c r="T35" i="3" a="1"/>
  <c r="T35" i="3" s="1"/>
  <c r="S35" i="3" a="1"/>
  <c r="S35" i="3" s="1"/>
  <c r="R35" i="3" a="1"/>
  <c r="R35" i="3" s="1"/>
  <c r="Q35" i="3" a="1"/>
  <c r="Q35" i="3" s="1"/>
  <c r="P35" i="3" a="1"/>
  <c r="P35" i="3" s="1"/>
  <c r="O35" i="3" a="1"/>
  <c r="O35" i="3" s="1"/>
  <c r="N35" i="3" a="1"/>
  <c r="N35" i="3" s="1"/>
  <c r="M35" i="3" a="1"/>
  <c r="M35" i="3" s="1"/>
  <c r="L35" i="3" a="1"/>
  <c r="L35" i="3" s="1"/>
  <c r="K35" i="3" a="1"/>
  <c r="K35" i="3" s="1"/>
  <c r="J35" i="3" a="1"/>
  <c r="J35" i="3" s="1"/>
  <c r="I35" i="3" a="1"/>
  <c r="I35" i="3" s="1"/>
  <c r="H35" i="3" a="1"/>
  <c r="H35" i="3" s="1"/>
  <c r="G35" i="3" a="1"/>
  <c r="G35" i="3" s="1"/>
  <c r="F35" i="3" a="1"/>
  <c r="F35" i="3" s="1"/>
  <c r="E35" i="3" a="1"/>
  <c r="E35" i="3" s="1"/>
  <c r="D35" i="3" a="1"/>
  <c r="D35" i="3" s="1"/>
  <c r="AG34" i="3" a="1"/>
  <c r="AG34" i="3" s="1"/>
  <c r="AF34" i="3" a="1"/>
  <c r="AF34" i="3" s="1"/>
  <c r="AE34" i="3" a="1"/>
  <c r="AE34" i="3" s="1"/>
  <c r="AD34" i="3" a="1"/>
  <c r="AD34" i="3" s="1"/>
  <c r="AC34" i="3" a="1"/>
  <c r="AC34" i="3" s="1"/>
  <c r="AB34" i="3" a="1"/>
  <c r="AB34" i="3" s="1"/>
  <c r="AA34" i="3" a="1"/>
  <c r="AA34" i="3" s="1"/>
  <c r="Z34" i="3" a="1"/>
  <c r="Z34" i="3" s="1"/>
  <c r="Y34" i="3" a="1"/>
  <c r="Y34" i="3" s="1"/>
  <c r="X34" i="3" a="1"/>
  <c r="X34" i="3" s="1"/>
  <c r="W34" i="3" a="1"/>
  <c r="W34" i="3" s="1"/>
  <c r="V34" i="3" a="1"/>
  <c r="V34" i="3" s="1"/>
  <c r="U34" i="3" a="1"/>
  <c r="U34" i="3" s="1"/>
  <c r="T34" i="3" a="1"/>
  <c r="T34" i="3" s="1"/>
  <c r="S34" i="3" a="1"/>
  <c r="S34" i="3" s="1"/>
  <c r="R34" i="3" a="1"/>
  <c r="R34" i="3" s="1"/>
  <c r="Q34" i="3" a="1"/>
  <c r="Q34" i="3" s="1"/>
  <c r="P34" i="3" a="1"/>
  <c r="P34" i="3" s="1"/>
  <c r="O34" i="3" a="1"/>
  <c r="O34" i="3" s="1"/>
  <c r="N34" i="3" a="1"/>
  <c r="N34" i="3" s="1"/>
  <c r="M34" i="3" a="1"/>
  <c r="M34" i="3" s="1"/>
  <c r="L34" i="3" a="1"/>
  <c r="L34" i="3" s="1"/>
  <c r="K34" i="3" a="1"/>
  <c r="K34" i="3" s="1"/>
  <c r="J34" i="3" a="1"/>
  <c r="J34" i="3" s="1"/>
  <c r="I34" i="3" a="1"/>
  <c r="I34" i="3" s="1"/>
  <c r="H34" i="3" a="1"/>
  <c r="H34" i="3" s="1"/>
  <c r="G34" i="3" a="1"/>
  <c r="G34" i="3" s="1"/>
  <c r="F34" i="3" a="1"/>
  <c r="F34" i="3" s="1"/>
  <c r="E34" i="3" a="1"/>
  <c r="E34" i="3" s="1"/>
  <c r="D34" i="3" a="1"/>
  <c r="D34" i="3" s="1"/>
  <c r="AG33" i="3" a="1"/>
  <c r="AG33" i="3" s="1"/>
  <c r="AF33" i="3" a="1"/>
  <c r="AF33" i="3" s="1"/>
  <c r="AE33" i="3" a="1"/>
  <c r="AE33" i="3" s="1"/>
  <c r="AD33" i="3" a="1"/>
  <c r="AD33" i="3" s="1"/>
  <c r="AC33" i="3" a="1"/>
  <c r="AC33" i="3" s="1"/>
  <c r="AB33" i="3" a="1"/>
  <c r="AB33" i="3" s="1"/>
  <c r="AA33" i="3" a="1"/>
  <c r="AA33" i="3" s="1"/>
  <c r="Z33" i="3" a="1"/>
  <c r="Z33" i="3" s="1"/>
  <c r="Y33" i="3" a="1"/>
  <c r="Y33" i="3" s="1"/>
  <c r="X33" i="3" a="1"/>
  <c r="X33" i="3" s="1"/>
  <c r="W33" i="3" a="1"/>
  <c r="W33" i="3" s="1"/>
  <c r="V33" i="3" a="1"/>
  <c r="V33" i="3" s="1"/>
  <c r="U33" i="3" a="1"/>
  <c r="U33" i="3" s="1"/>
  <c r="T33" i="3" a="1"/>
  <c r="T33" i="3" s="1"/>
  <c r="S33" i="3" a="1"/>
  <c r="S33" i="3" s="1"/>
  <c r="R33" i="3" a="1"/>
  <c r="R33" i="3" s="1"/>
  <c r="Q33" i="3" a="1"/>
  <c r="Q33" i="3" s="1"/>
  <c r="P33" i="3" a="1"/>
  <c r="P33" i="3" s="1"/>
  <c r="O33" i="3" a="1"/>
  <c r="O33" i="3" s="1"/>
  <c r="N33" i="3" a="1"/>
  <c r="N33" i="3" s="1"/>
  <c r="M33" i="3" a="1"/>
  <c r="M33" i="3" s="1"/>
  <c r="L33" i="3" a="1"/>
  <c r="L33" i="3" s="1"/>
  <c r="K33" i="3" a="1"/>
  <c r="K33" i="3" s="1"/>
  <c r="J33" i="3" a="1"/>
  <c r="J33" i="3" s="1"/>
  <c r="I33" i="3" a="1"/>
  <c r="I33" i="3" s="1"/>
  <c r="H33" i="3" a="1"/>
  <c r="H33" i="3" s="1"/>
  <c r="G33" i="3" a="1"/>
  <c r="G33" i="3" s="1"/>
  <c r="F33" i="3" a="1"/>
  <c r="F33" i="3" s="1"/>
  <c r="E33" i="3" a="1"/>
  <c r="E33" i="3" s="1"/>
  <c r="D33" i="3" a="1"/>
  <c r="D33" i="3" s="1"/>
  <c r="AG32" i="3" a="1"/>
  <c r="AG32" i="3" s="1"/>
  <c r="AF32" i="3" a="1"/>
  <c r="AF32" i="3" s="1"/>
  <c r="AE32" i="3" a="1"/>
  <c r="AE32" i="3" s="1"/>
  <c r="AD32" i="3" a="1"/>
  <c r="AD32" i="3" s="1"/>
  <c r="AC32" i="3" a="1"/>
  <c r="AC32" i="3" s="1"/>
  <c r="AB32" i="3" a="1"/>
  <c r="AB32" i="3" s="1"/>
  <c r="AA32" i="3" a="1"/>
  <c r="AA32" i="3" s="1"/>
  <c r="Z32" i="3" a="1"/>
  <c r="Z32" i="3" s="1"/>
  <c r="Y32" i="3" a="1"/>
  <c r="Y32" i="3" s="1"/>
  <c r="X32" i="3" a="1"/>
  <c r="X32" i="3" s="1"/>
  <c r="W32" i="3" a="1"/>
  <c r="W32" i="3" s="1"/>
  <c r="V32" i="3" a="1"/>
  <c r="V32" i="3" s="1"/>
  <c r="U32" i="3" a="1"/>
  <c r="U32" i="3" s="1"/>
  <c r="T32" i="3" a="1"/>
  <c r="T32" i="3" s="1"/>
  <c r="S32" i="3" a="1"/>
  <c r="S32" i="3" s="1"/>
  <c r="R32" i="3" a="1"/>
  <c r="R32" i="3" s="1"/>
  <c r="Q32" i="3" a="1"/>
  <c r="Q32" i="3" s="1"/>
  <c r="P32" i="3" a="1"/>
  <c r="P32" i="3" s="1"/>
  <c r="O32" i="3" a="1"/>
  <c r="O32" i="3" s="1"/>
  <c r="N32" i="3" a="1"/>
  <c r="N32" i="3" s="1"/>
  <c r="M32" i="3" a="1"/>
  <c r="M32" i="3" s="1"/>
  <c r="L32" i="3" a="1"/>
  <c r="L32" i="3" s="1"/>
  <c r="K32" i="3" a="1"/>
  <c r="K32" i="3" s="1"/>
  <c r="J32" i="3" a="1"/>
  <c r="J32" i="3" s="1"/>
  <c r="I32" i="3" a="1"/>
  <c r="I32" i="3" s="1"/>
  <c r="H32" i="3" a="1"/>
  <c r="H32" i="3" s="1"/>
  <c r="G32" i="3" a="1"/>
  <c r="G32" i="3" s="1"/>
  <c r="F32" i="3" a="1"/>
  <c r="F32" i="3" s="1"/>
  <c r="E32" i="3" a="1"/>
  <c r="E32" i="3" s="1"/>
  <c r="D32" i="3" a="1"/>
  <c r="D32" i="3" s="1"/>
  <c r="AG31" i="3" a="1"/>
  <c r="AG31" i="3" s="1"/>
  <c r="AF31" i="3" a="1"/>
  <c r="AF31" i="3" s="1"/>
  <c r="AE31" i="3" a="1"/>
  <c r="AE31" i="3" s="1"/>
  <c r="AD31" i="3" a="1"/>
  <c r="AD31" i="3" s="1"/>
  <c r="AC31" i="3" a="1"/>
  <c r="AC31" i="3" s="1"/>
  <c r="AB31" i="3" a="1"/>
  <c r="AB31" i="3" s="1"/>
  <c r="AA31" i="3" a="1"/>
  <c r="AA31" i="3" s="1"/>
  <c r="Z31" i="3" a="1"/>
  <c r="Z31" i="3" s="1"/>
  <c r="Y31" i="3" a="1"/>
  <c r="Y31" i="3" s="1"/>
  <c r="X31" i="3" a="1"/>
  <c r="X31" i="3" s="1"/>
  <c r="W31" i="3" a="1"/>
  <c r="W31" i="3" s="1"/>
  <c r="V31" i="3" a="1"/>
  <c r="V31" i="3" s="1"/>
  <c r="U31" i="3" a="1"/>
  <c r="U31" i="3" s="1"/>
  <c r="T31" i="3" a="1"/>
  <c r="T31" i="3" s="1"/>
  <c r="S31" i="3" a="1"/>
  <c r="S31" i="3" s="1"/>
  <c r="R31" i="3" a="1"/>
  <c r="R31" i="3" s="1"/>
  <c r="Q31" i="3" a="1"/>
  <c r="Q31" i="3" s="1"/>
  <c r="P31" i="3" a="1"/>
  <c r="P31" i="3" s="1"/>
  <c r="O31" i="3" a="1"/>
  <c r="O31" i="3" s="1"/>
  <c r="N31" i="3" a="1"/>
  <c r="N31" i="3" s="1"/>
  <c r="M31" i="3" a="1"/>
  <c r="M31" i="3" s="1"/>
  <c r="L31" i="3" a="1"/>
  <c r="L31" i="3" s="1"/>
  <c r="K31" i="3" a="1"/>
  <c r="K31" i="3" s="1"/>
  <c r="J31" i="3" a="1"/>
  <c r="J31" i="3" s="1"/>
  <c r="I31" i="3" a="1"/>
  <c r="I31" i="3" s="1"/>
  <c r="H31" i="3" a="1"/>
  <c r="H31" i="3" s="1"/>
  <c r="G31" i="3" a="1"/>
  <c r="G31" i="3" s="1"/>
  <c r="F31" i="3" a="1"/>
  <c r="F31" i="3" s="1"/>
  <c r="E31" i="3" a="1"/>
  <c r="E31" i="3" s="1"/>
  <c r="D31" i="3" a="1"/>
  <c r="D31" i="3" s="1"/>
  <c r="AG30" i="3" a="1"/>
  <c r="AG30" i="3" s="1"/>
  <c r="AF30" i="3" a="1"/>
  <c r="AF30" i="3" s="1"/>
  <c r="AE30" i="3" a="1"/>
  <c r="AE30" i="3" s="1"/>
  <c r="AD30" i="3" a="1"/>
  <c r="AD30" i="3" s="1"/>
  <c r="AC30" i="3" a="1"/>
  <c r="AC30" i="3" s="1"/>
  <c r="AB30" i="3" a="1"/>
  <c r="AB30" i="3" s="1"/>
  <c r="AA30" i="3" a="1"/>
  <c r="AA30" i="3" s="1"/>
  <c r="Z30" i="3" a="1"/>
  <c r="Z30" i="3" s="1"/>
  <c r="Y30" i="3" a="1"/>
  <c r="Y30" i="3" s="1"/>
  <c r="X30" i="3" a="1"/>
  <c r="X30" i="3" s="1"/>
  <c r="W30" i="3" a="1"/>
  <c r="W30" i="3" s="1"/>
  <c r="V30" i="3" a="1"/>
  <c r="V30" i="3" s="1"/>
  <c r="U30" i="3" a="1"/>
  <c r="U30" i="3" s="1"/>
  <c r="T30" i="3" a="1"/>
  <c r="T30" i="3" s="1"/>
  <c r="S30" i="3" a="1"/>
  <c r="S30" i="3" s="1"/>
  <c r="R30" i="3" a="1"/>
  <c r="R30" i="3" s="1"/>
  <c r="Q30" i="3" a="1"/>
  <c r="Q30" i="3" s="1"/>
  <c r="P30" i="3" a="1"/>
  <c r="P30" i="3" s="1"/>
  <c r="O30" i="3" a="1"/>
  <c r="O30" i="3" s="1"/>
  <c r="N30" i="3" a="1"/>
  <c r="N30" i="3" s="1"/>
  <c r="M30" i="3" a="1"/>
  <c r="M30" i="3" s="1"/>
  <c r="G30" i="3" a="1"/>
  <c r="G30" i="3" s="1"/>
  <c r="E30" i="3" a="1"/>
  <c r="E30" i="3" s="1"/>
  <c r="D30" i="3" a="1"/>
  <c r="D30" i="3" s="1"/>
  <c r="AG29" i="3" a="1"/>
  <c r="AG29" i="3" s="1"/>
  <c r="AF29" i="3" a="1"/>
  <c r="AF29" i="3" s="1"/>
  <c r="AE29" i="3" a="1"/>
  <c r="AE29" i="3" s="1"/>
  <c r="AD29" i="3" a="1"/>
  <c r="AD29" i="3" s="1"/>
  <c r="AC29" i="3" a="1"/>
  <c r="AC29" i="3" s="1"/>
  <c r="AB29" i="3" a="1"/>
  <c r="AB29" i="3" s="1"/>
  <c r="AA29" i="3" a="1"/>
  <c r="AA29" i="3" s="1"/>
  <c r="Z29" i="3" a="1"/>
  <c r="Z29" i="3" s="1"/>
  <c r="Y29" i="3" a="1"/>
  <c r="Y29" i="3" s="1"/>
  <c r="X29" i="3" a="1"/>
  <c r="X29" i="3" s="1"/>
  <c r="W29" i="3" a="1"/>
  <c r="W29" i="3" s="1"/>
  <c r="V29" i="3" a="1"/>
  <c r="V29" i="3" s="1"/>
  <c r="U29" i="3" a="1"/>
  <c r="U29" i="3" s="1"/>
  <c r="T29" i="3" a="1"/>
  <c r="T29" i="3" s="1"/>
  <c r="S29" i="3" a="1"/>
  <c r="S29" i="3" s="1"/>
  <c r="R29" i="3" a="1"/>
  <c r="R29" i="3" s="1"/>
  <c r="Q29" i="3" a="1"/>
  <c r="Q29" i="3" s="1"/>
  <c r="P29" i="3" a="1"/>
  <c r="P29" i="3" s="1"/>
  <c r="O29" i="3" a="1"/>
  <c r="O29" i="3" s="1"/>
  <c r="N29" i="3" a="1"/>
  <c r="N29" i="3" s="1"/>
  <c r="M29" i="3" a="1"/>
  <c r="M29" i="3" s="1"/>
  <c r="L29" i="3" a="1"/>
  <c r="L29" i="3" s="1"/>
  <c r="K29" i="3" a="1"/>
  <c r="K29" i="3" s="1"/>
  <c r="J29" i="3" a="1"/>
  <c r="J29" i="3" s="1"/>
  <c r="I29" i="3" a="1"/>
  <c r="I29" i="3" s="1"/>
  <c r="H29" i="3" a="1"/>
  <c r="H29" i="3" s="1"/>
  <c r="G29" i="3" a="1"/>
  <c r="G29" i="3" s="1"/>
  <c r="F29" i="3" a="1"/>
  <c r="F29" i="3" s="1"/>
  <c r="E29" i="3" a="1"/>
  <c r="E29" i="3" s="1"/>
  <c r="D29" i="3" a="1"/>
  <c r="D29" i="3" s="1"/>
  <c r="AG28" i="3" a="1"/>
  <c r="AG28" i="3" s="1"/>
  <c r="AF28" i="3" a="1"/>
  <c r="AF28" i="3" s="1"/>
  <c r="AE28" i="3" a="1"/>
  <c r="AE28" i="3" s="1"/>
  <c r="AD28" i="3" a="1"/>
  <c r="AD28" i="3" s="1"/>
  <c r="AC28" i="3" a="1"/>
  <c r="AC28" i="3" s="1"/>
  <c r="AB28" i="3" a="1"/>
  <c r="AB28" i="3" s="1"/>
  <c r="AA28" i="3" a="1"/>
  <c r="AA28" i="3" s="1"/>
  <c r="Z28" i="3" a="1"/>
  <c r="Z28" i="3" s="1"/>
  <c r="Y28" i="3" a="1"/>
  <c r="Y28" i="3" s="1"/>
  <c r="X28" i="3" a="1"/>
  <c r="X28" i="3" s="1"/>
  <c r="W28" i="3" a="1"/>
  <c r="W28" i="3" s="1"/>
  <c r="V28" i="3" a="1"/>
  <c r="V28" i="3" s="1"/>
  <c r="U28" i="3" a="1"/>
  <c r="U28" i="3" s="1"/>
  <c r="T28" i="3" a="1"/>
  <c r="T28" i="3" s="1"/>
  <c r="S28" i="3" a="1"/>
  <c r="S28" i="3" s="1"/>
  <c r="R28" i="3" a="1"/>
  <c r="R28" i="3" s="1"/>
  <c r="Q28" i="3" a="1"/>
  <c r="Q28" i="3" s="1"/>
  <c r="P28" i="3" a="1"/>
  <c r="P28" i="3" s="1"/>
  <c r="O28" i="3" a="1"/>
  <c r="O28" i="3" s="1"/>
  <c r="N28" i="3" a="1"/>
  <c r="N28" i="3" s="1"/>
  <c r="M28" i="3" a="1"/>
  <c r="M28" i="3" s="1"/>
  <c r="L28" i="3" a="1"/>
  <c r="L28" i="3" s="1"/>
  <c r="K28" i="3" a="1"/>
  <c r="K28" i="3" s="1"/>
  <c r="J28" i="3" a="1"/>
  <c r="J28" i="3" s="1"/>
  <c r="I28" i="3" a="1"/>
  <c r="I28" i="3" s="1"/>
  <c r="H28" i="3" a="1"/>
  <c r="H28" i="3" s="1"/>
  <c r="G28" i="3" a="1"/>
  <c r="G28" i="3" s="1"/>
  <c r="F28" i="3" a="1"/>
  <c r="F28" i="3" s="1"/>
  <c r="E28" i="3" a="1"/>
  <c r="E28" i="3" s="1"/>
  <c r="D28" i="3" a="1"/>
  <c r="D28" i="3" s="1"/>
  <c r="AG27" i="3" a="1"/>
  <c r="AG27" i="3" s="1"/>
  <c r="AF27" i="3" a="1"/>
  <c r="AF27" i="3" s="1"/>
  <c r="AE27" i="3" a="1"/>
  <c r="AE27" i="3" s="1"/>
  <c r="AD27" i="3" a="1"/>
  <c r="AD27" i="3" s="1"/>
  <c r="AC27" i="3" a="1"/>
  <c r="AC27" i="3" s="1"/>
  <c r="AB27" i="3" a="1"/>
  <c r="AB27" i="3" s="1"/>
  <c r="AA27" i="3" a="1"/>
  <c r="AA27" i="3" s="1"/>
  <c r="Z27" i="3" a="1"/>
  <c r="Z27" i="3" s="1"/>
  <c r="Y27" i="3" a="1"/>
  <c r="Y27" i="3" s="1"/>
  <c r="X27" i="3" a="1"/>
  <c r="X27" i="3" s="1"/>
  <c r="W27" i="3" a="1"/>
  <c r="W27" i="3" s="1"/>
  <c r="V27" i="3" a="1"/>
  <c r="V27" i="3" s="1"/>
  <c r="U27" i="3" a="1"/>
  <c r="U27" i="3" s="1"/>
  <c r="T27" i="3" a="1"/>
  <c r="T27" i="3" s="1"/>
  <c r="S27" i="3" a="1"/>
  <c r="S27" i="3" s="1"/>
  <c r="R27" i="3" a="1"/>
  <c r="R27" i="3" s="1"/>
  <c r="Q27" i="3" a="1"/>
  <c r="Q27" i="3" s="1"/>
  <c r="P27" i="3" a="1"/>
  <c r="P27" i="3" s="1"/>
  <c r="O27" i="3" a="1"/>
  <c r="O27" i="3" s="1"/>
  <c r="N27" i="3" a="1"/>
  <c r="N27" i="3" s="1"/>
  <c r="M27" i="3" a="1"/>
  <c r="M27" i="3" s="1"/>
  <c r="L27" i="3" a="1"/>
  <c r="L27" i="3" s="1"/>
  <c r="K27" i="3" a="1"/>
  <c r="K27" i="3" s="1"/>
  <c r="J27" i="3" a="1"/>
  <c r="J27" i="3" s="1"/>
  <c r="I27" i="3" a="1"/>
  <c r="I27" i="3" s="1"/>
  <c r="H27" i="3" a="1"/>
  <c r="H27" i="3" s="1"/>
  <c r="G27" i="3" a="1"/>
  <c r="G27" i="3" s="1"/>
  <c r="F27" i="3" a="1"/>
  <c r="F27" i="3" s="1"/>
  <c r="E27" i="3" a="1"/>
  <c r="E27" i="3" s="1"/>
  <c r="D27" i="3" a="1"/>
  <c r="D27" i="3" s="1"/>
  <c r="AG26" i="3" a="1"/>
  <c r="AG26" i="3" s="1"/>
  <c r="AF26" i="3" a="1"/>
  <c r="AF26" i="3" s="1"/>
  <c r="AE26" i="3" a="1"/>
  <c r="AE26" i="3" s="1"/>
  <c r="AD26" i="3" a="1"/>
  <c r="AD26" i="3" s="1"/>
  <c r="AC26" i="3" a="1"/>
  <c r="AC26" i="3" s="1"/>
  <c r="AB26" i="3" a="1"/>
  <c r="AB26" i="3" s="1"/>
  <c r="AA26" i="3" a="1"/>
  <c r="AA26" i="3" s="1"/>
  <c r="Z26" i="3" a="1"/>
  <c r="Z26" i="3" s="1"/>
  <c r="Y26" i="3" a="1"/>
  <c r="Y26" i="3" s="1"/>
  <c r="X26" i="3" a="1"/>
  <c r="X26" i="3" s="1"/>
  <c r="W26" i="3" a="1"/>
  <c r="W26" i="3" s="1"/>
  <c r="V26" i="3" a="1"/>
  <c r="V26" i="3" s="1"/>
  <c r="U26" i="3" a="1"/>
  <c r="U26" i="3" s="1"/>
  <c r="T26" i="3" a="1"/>
  <c r="T26" i="3" s="1"/>
  <c r="S26" i="3" a="1"/>
  <c r="S26" i="3" s="1"/>
  <c r="R26" i="3" a="1"/>
  <c r="R26" i="3" s="1"/>
  <c r="Q26" i="3" a="1"/>
  <c r="Q26" i="3" s="1"/>
  <c r="P26" i="3" a="1"/>
  <c r="P26" i="3" s="1"/>
  <c r="O26" i="3" a="1"/>
  <c r="O26" i="3" s="1"/>
  <c r="N26" i="3" a="1"/>
  <c r="N26" i="3" s="1"/>
  <c r="M26" i="3" a="1"/>
  <c r="M26" i="3" s="1"/>
  <c r="L26" i="3" a="1"/>
  <c r="L26" i="3" s="1"/>
  <c r="K26" i="3" a="1"/>
  <c r="K26" i="3" s="1"/>
  <c r="J26" i="3" a="1"/>
  <c r="J26" i="3" s="1"/>
  <c r="I26" i="3" a="1"/>
  <c r="I26" i="3" s="1"/>
  <c r="H26" i="3" a="1"/>
  <c r="H26" i="3" s="1"/>
  <c r="G26" i="3" a="1"/>
  <c r="G26" i="3" s="1"/>
  <c r="F26" i="3" a="1"/>
  <c r="F26" i="3" s="1"/>
  <c r="E26" i="3" a="1"/>
  <c r="E26" i="3" s="1"/>
  <c r="D26" i="3" a="1"/>
  <c r="D26" i="3" s="1"/>
  <c r="AG25" i="3" a="1"/>
  <c r="AG25" i="3" s="1"/>
  <c r="AF25" i="3" a="1"/>
  <c r="AF25" i="3" s="1"/>
  <c r="AE25" i="3" a="1"/>
  <c r="AE25" i="3" s="1"/>
  <c r="AD25" i="3" a="1"/>
  <c r="AD25" i="3" s="1"/>
  <c r="AC25" i="3" a="1"/>
  <c r="AC25" i="3" s="1"/>
  <c r="AB25" i="3" a="1"/>
  <c r="AB25" i="3" s="1"/>
  <c r="AA25" i="3" a="1"/>
  <c r="AA25" i="3" s="1"/>
  <c r="Z25" i="3" a="1"/>
  <c r="Z25" i="3" s="1"/>
  <c r="Y25" i="3" a="1"/>
  <c r="Y25" i="3" s="1"/>
  <c r="X25" i="3" a="1"/>
  <c r="X25" i="3" s="1"/>
  <c r="W25" i="3" a="1"/>
  <c r="W25" i="3" s="1"/>
  <c r="V25" i="3" a="1"/>
  <c r="V25" i="3" s="1"/>
  <c r="U25" i="3" a="1"/>
  <c r="U25" i="3" s="1"/>
  <c r="T25" i="3" a="1"/>
  <c r="T25" i="3" s="1"/>
  <c r="S25" i="3" a="1"/>
  <c r="S25" i="3" s="1"/>
  <c r="R25" i="3" a="1"/>
  <c r="R25" i="3" s="1"/>
  <c r="Q25" i="3" a="1"/>
  <c r="Q25" i="3" s="1"/>
  <c r="P25" i="3" a="1"/>
  <c r="P25" i="3" s="1"/>
  <c r="O25" i="3" a="1"/>
  <c r="O25" i="3" s="1"/>
  <c r="N25" i="3" a="1"/>
  <c r="N25" i="3" s="1"/>
  <c r="M25" i="3" a="1"/>
  <c r="M25" i="3" s="1"/>
  <c r="L25" i="3" a="1"/>
  <c r="L25" i="3" s="1"/>
  <c r="K25" i="3" a="1"/>
  <c r="K25" i="3" s="1"/>
  <c r="J25" i="3" a="1"/>
  <c r="J25" i="3" s="1"/>
  <c r="I25" i="3" a="1"/>
  <c r="I25" i="3" s="1"/>
  <c r="H25" i="3" a="1"/>
  <c r="H25" i="3" s="1"/>
  <c r="G25" i="3" a="1"/>
  <c r="G25" i="3" s="1"/>
  <c r="F25" i="3" a="1"/>
  <c r="F25" i="3" s="1"/>
  <c r="E25" i="3" a="1"/>
  <c r="E25" i="3" s="1"/>
  <c r="D25" i="3" a="1"/>
  <c r="D25" i="3" s="1"/>
  <c r="AG24" i="3" a="1"/>
  <c r="AG24" i="3" s="1"/>
  <c r="AF24" i="3" a="1"/>
  <c r="AF24" i="3" s="1"/>
  <c r="AE24" i="3" a="1"/>
  <c r="AE24" i="3" s="1"/>
  <c r="AD24" i="3" a="1"/>
  <c r="AD24" i="3" s="1"/>
  <c r="AC24" i="3" a="1"/>
  <c r="AC24" i="3" s="1"/>
  <c r="AB24" i="3" a="1"/>
  <c r="AB24" i="3" s="1"/>
  <c r="AA24" i="3" a="1"/>
  <c r="AA24" i="3" s="1"/>
  <c r="Z24" i="3" a="1"/>
  <c r="Z24" i="3" s="1"/>
  <c r="Y24" i="3" a="1"/>
  <c r="Y24" i="3" s="1"/>
  <c r="X24" i="3" a="1"/>
  <c r="X24" i="3" s="1"/>
  <c r="W24" i="3" a="1"/>
  <c r="W24" i="3" s="1"/>
  <c r="V24" i="3" a="1"/>
  <c r="V24" i="3" s="1"/>
  <c r="U24" i="3" a="1"/>
  <c r="U24" i="3" s="1"/>
  <c r="T24" i="3" a="1"/>
  <c r="T24" i="3" s="1"/>
  <c r="S24" i="3" a="1"/>
  <c r="S24" i="3" s="1"/>
  <c r="R24" i="3" a="1"/>
  <c r="R24" i="3" s="1"/>
  <c r="Q24" i="3" a="1"/>
  <c r="Q24" i="3" s="1"/>
  <c r="P24" i="3" a="1"/>
  <c r="P24" i="3" s="1"/>
  <c r="O24" i="3" a="1"/>
  <c r="O24" i="3" s="1"/>
  <c r="N24" i="3" a="1"/>
  <c r="N24" i="3" s="1"/>
  <c r="M24" i="3" a="1"/>
  <c r="M24" i="3" s="1"/>
  <c r="L24" i="3" a="1"/>
  <c r="L24" i="3" s="1"/>
  <c r="K24" i="3" a="1"/>
  <c r="K24" i="3" s="1"/>
  <c r="J24" i="3" a="1"/>
  <c r="J24" i="3" s="1"/>
  <c r="I24" i="3" a="1"/>
  <c r="I24" i="3" s="1"/>
  <c r="H24" i="3" a="1"/>
  <c r="H24" i="3" s="1"/>
  <c r="G24" i="3" a="1"/>
  <c r="G24" i="3" s="1"/>
  <c r="F24" i="3" a="1"/>
  <c r="F24" i="3" s="1"/>
  <c r="E24" i="3" a="1"/>
  <c r="E24" i="3" s="1"/>
  <c r="D24" i="3" a="1"/>
  <c r="D24" i="3" s="1"/>
  <c r="AG23" i="3" a="1"/>
  <c r="AG23" i="3" s="1"/>
  <c r="AF23" i="3" a="1"/>
  <c r="AF23" i="3" s="1"/>
  <c r="AE23" i="3" a="1"/>
  <c r="AE23" i="3" s="1"/>
  <c r="AD23" i="3" a="1"/>
  <c r="AD23" i="3" s="1"/>
  <c r="AC23" i="3" a="1"/>
  <c r="AC23" i="3" s="1"/>
  <c r="AB23" i="3" a="1"/>
  <c r="AB23" i="3" s="1"/>
  <c r="AA23" i="3" a="1"/>
  <c r="AA23" i="3" s="1"/>
  <c r="Z23" i="3" a="1"/>
  <c r="Z23" i="3" s="1"/>
  <c r="Y23" i="3" a="1"/>
  <c r="Y23" i="3" s="1"/>
  <c r="X23" i="3" a="1"/>
  <c r="X23" i="3" s="1"/>
  <c r="W23" i="3" a="1"/>
  <c r="W23" i="3" s="1"/>
  <c r="V23" i="3" a="1"/>
  <c r="V23" i="3" s="1"/>
  <c r="U23" i="3" a="1"/>
  <c r="U23" i="3" s="1"/>
  <c r="T23" i="3" a="1"/>
  <c r="T23" i="3" s="1"/>
  <c r="S23" i="3" a="1"/>
  <c r="S23" i="3" s="1"/>
  <c r="R23" i="3" a="1"/>
  <c r="R23" i="3" s="1"/>
  <c r="Q23" i="3" a="1"/>
  <c r="Q23" i="3" s="1"/>
  <c r="P23" i="3" a="1"/>
  <c r="P23" i="3" s="1"/>
  <c r="O23" i="3" a="1"/>
  <c r="O23" i="3" s="1"/>
  <c r="N23" i="3" a="1"/>
  <c r="N23" i="3" s="1"/>
  <c r="M23" i="3" a="1"/>
  <c r="M23" i="3" s="1"/>
  <c r="L23" i="3" a="1"/>
  <c r="L23" i="3" s="1"/>
  <c r="K23" i="3" a="1"/>
  <c r="K23" i="3" s="1"/>
  <c r="J23" i="3" a="1"/>
  <c r="J23" i="3" s="1"/>
  <c r="I23" i="3" a="1"/>
  <c r="I23" i="3" s="1"/>
  <c r="H23" i="3" a="1"/>
  <c r="H23" i="3" s="1"/>
  <c r="G23" i="3" a="1"/>
  <c r="G23" i="3" s="1"/>
  <c r="F23" i="3" a="1"/>
  <c r="F23" i="3" s="1"/>
  <c r="E23" i="3" a="1"/>
  <c r="E23" i="3" s="1"/>
  <c r="D23" i="3" a="1"/>
  <c r="D23" i="3" s="1"/>
  <c r="AG22" i="3" a="1"/>
  <c r="AG22" i="3" s="1"/>
  <c r="AF22" i="3" a="1"/>
  <c r="AF22" i="3" s="1"/>
  <c r="AE22" i="3" a="1"/>
  <c r="AE22" i="3" s="1"/>
  <c r="AD22" i="3" a="1"/>
  <c r="AD22" i="3" s="1"/>
  <c r="AC22" i="3" a="1"/>
  <c r="AC22" i="3" s="1"/>
  <c r="AB22" i="3" a="1"/>
  <c r="AB22" i="3" s="1"/>
  <c r="AA22" i="3" a="1"/>
  <c r="AA22" i="3" s="1"/>
  <c r="Z22" i="3" a="1"/>
  <c r="Z22" i="3" s="1"/>
  <c r="Y22" i="3" a="1"/>
  <c r="Y22" i="3" s="1"/>
  <c r="X22" i="3" a="1"/>
  <c r="X22" i="3" s="1"/>
  <c r="W22" i="3" a="1"/>
  <c r="W22" i="3" s="1"/>
  <c r="V22" i="3" a="1"/>
  <c r="V22" i="3" s="1"/>
  <c r="U22" i="3" a="1"/>
  <c r="U22" i="3" s="1"/>
  <c r="T22" i="3" a="1"/>
  <c r="T22" i="3" s="1"/>
  <c r="S22" i="3" a="1"/>
  <c r="S22" i="3" s="1"/>
  <c r="R22" i="3" a="1"/>
  <c r="R22" i="3" s="1"/>
  <c r="Q22" i="3" a="1"/>
  <c r="Q22" i="3" s="1"/>
  <c r="P22" i="3" a="1"/>
  <c r="P22" i="3" s="1"/>
  <c r="O22" i="3" a="1"/>
  <c r="O22" i="3" s="1"/>
  <c r="N22" i="3" a="1"/>
  <c r="N22" i="3" s="1"/>
  <c r="M22" i="3" a="1"/>
  <c r="M22" i="3" s="1"/>
  <c r="L22" i="3" a="1"/>
  <c r="L22" i="3" s="1"/>
  <c r="K22" i="3" a="1"/>
  <c r="K22" i="3" s="1"/>
  <c r="J22" i="3" a="1"/>
  <c r="J22" i="3" s="1"/>
  <c r="I22" i="3" a="1"/>
  <c r="I22" i="3" s="1"/>
  <c r="H22" i="3" a="1"/>
  <c r="H22" i="3" s="1"/>
  <c r="G22" i="3" a="1"/>
  <c r="G22" i="3" s="1"/>
  <c r="F22" i="3" a="1"/>
  <c r="F22" i="3" s="1"/>
  <c r="E22" i="3" a="1"/>
  <c r="E22" i="3" s="1"/>
  <c r="D22" i="3" a="1"/>
  <c r="D22" i="3" s="1"/>
  <c r="AG21" i="3" a="1"/>
  <c r="AG21" i="3" s="1"/>
  <c r="AF21" i="3" a="1"/>
  <c r="AF21" i="3" s="1"/>
  <c r="AE21" i="3" a="1"/>
  <c r="AE21" i="3" s="1"/>
  <c r="AD21" i="3" a="1"/>
  <c r="AD21" i="3" s="1"/>
  <c r="AC21" i="3" a="1"/>
  <c r="AC21" i="3" s="1"/>
  <c r="AB21" i="3" a="1"/>
  <c r="AB21" i="3" s="1"/>
  <c r="AA21" i="3" a="1"/>
  <c r="AA21" i="3" s="1"/>
  <c r="Z21" i="3" a="1"/>
  <c r="Z21" i="3" s="1"/>
  <c r="Y21" i="3" a="1"/>
  <c r="Y21" i="3" s="1"/>
  <c r="X21" i="3" a="1"/>
  <c r="X21" i="3" s="1"/>
  <c r="W21" i="3" a="1"/>
  <c r="W21" i="3" s="1"/>
  <c r="V21" i="3" a="1"/>
  <c r="V21" i="3" s="1"/>
  <c r="U21" i="3" a="1"/>
  <c r="U21" i="3" s="1"/>
  <c r="T21" i="3" a="1"/>
  <c r="T21" i="3" s="1"/>
  <c r="S21" i="3" a="1"/>
  <c r="S21" i="3" s="1"/>
  <c r="R21" i="3" a="1"/>
  <c r="R21" i="3" s="1"/>
  <c r="Q21" i="3" a="1"/>
  <c r="Q21" i="3" s="1"/>
  <c r="P21" i="3" a="1"/>
  <c r="P21" i="3" s="1"/>
  <c r="O21" i="3" a="1"/>
  <c r="O21" i="3" s="1"/>
  <c r="N21" i="3" a="1"/>
  <c r="N21" i="3" s="1"/>
  <c r="M21" i="3" a="1"/>
  <c r="M21" i="3" s="1"/>
  <c r="L21" i="3" a="1"/>
  <c r="L21" i="3" s="1"/>
  <c r="K21" i="3" a="1"/>
  <c r="K21" i="3" s="1"/>
  <c r="J21" i="3" a="1"/>
  <c r="J21" i="3" s="1"/>
  <c r="I21" i="3" a="1"/>
  <c r="I21" i="3" s="1"/>
  <c r="H21" i="3" a="1"/>
  <c r="H21" i="3" s="1"/>
  <c r="G21" i="3" a="1"/>
  <c r="G21" i="3" s="1"/>
  <c r="I30" i="3" a="1"/>
  <c r="I30" i="3" s="1"/>
  <c r="AG20" i="3" a="1"/>
  <c r="AG20" i="3" s="1"/>
  <c r="AB20" i="3" a="1"/>
  <c r="AB20" i="3" s="1"/>
  <c r="W20" i="3" a="1"/>
  <c r="W20" i="3" s="1"/>
  <c r="R20" i="3" a="1"/>
  <c r="R20" i="3" s="1"/>
  <c r="L20" i="3" a="1"/>
  <c r="L20" i="3" s="1"/>
  <c r="F20" i="3" a="1"/>
  <c r="F20" i="3" s="1"/>
  <c r="AC19" i="3" a="1"/>
  <c r="AC19" i="3" s="1"/>
  <c r="W19" i="3" a="1"/>
  <c r="W19" i="3" s="1"/>
  <c r="Q19" i="3" a="1"/>
  <c r="Q19" i="3" s="1"/>
  <c r="K19" i="3" a="1"/>
  <c r="K19" i="3" s="1"/>
  <c r="E19" i="3" a="1"/>
  <c r="E19" i="3" s="1"/>
  <c r="AD18" i="3" a="1"/>
  <c r="AD18" i="3" s="1"/>
  <c r="AB18" i="3" a="1"/>
  <c r="AB18" i="3" s="1"/>
  <c r="AA18" i="3" a="1"/>
  <c r="AA18" i="3" s="1"/>
  <c r="Z18" i="3" a="1"/>
  <c r="Z18" i="3" s="1"/>
  <c r="Y18" i="3" a="1"/>
  <c r="Y18" i="3" s="1"/>
  <c r="X18" i="3" a="1"/>
  <c r="X18" i="3" s="1"/>
  <c r="W18" i="3" a="1"/>
  <c r="W18" i="3" s="1"/>
  <c r="V18" i="3" a="1"/>
  <c r="V18" i="3" s="1"/>
  <c r="U18" i="3" a="1"/>
  <c r="U18" i="3" s="1"/>
  <c r="T18" i="3" a="1"/>
  <c r="T18" i="3" s="1"/>
  <c r="S18" i="3" a="1"/>
  <c r="S18" i="3" s="1"/>
  <c r="R18" i="3" a="1"/>
  <c r="R18" i="3" s="1"/>
  <c r="Q18" i="3" a="1"/>
  <c r="Q18" i="3" s="1"/>
  <c r="P18" i="3" a="1"/>
  <c r="P18" i="3" s="1"/>
  <c r="O18" i="3" a="1"/>
  <c r="O18" i="3" s="1"/>
  <c r="N18" i="3" a="1"/>
  <c r="N18" i="3" s="1"/>
  <c r="M18" i="3" a="1"/>
  <c r="M18" i="3" s="1"/>
  <c r="L18" i="3" a="1"/>
  <c r="L18" i="3" s="1"/>
  <c r="K18" i="3" a="1"/>
  <c r="K18" i="3" s="1"/>
  <c r="J18" i="3" a="1"/>
  <c r="J18" i="3" s="1"/>
  <c r="I18" i="3" a="1"/>
  <c r="I18" i="3" s="1"/>
  <c r="H18" i="3" a="1"/>
  <c r="H18" i="3" s="1"/>
  <c r="G18" i="3" a="1"/>
  <c r="G18" i="3" s="1"/>
  <c r="F18" i="3" a="1"/>
  <c r="F18" i="3" s="1"/>
  <c r="E18" i="3" a="1"/>
  <c r="E18" i="3" s="1"/>
  <c r="D18" i="3" a="1"/>
  <c r="D18" i="3" s="1"/>
  <c r="AG17" i="3" a="1"/>
  <c r="AG17" i="3" s="1"/>
  <c r="AF17" i="3" a="1"/>
  <c r="AF17" i="3" s="1"/>
  <c r="AE17" i="3" a="1"/>
  <c r="AE17" i="3" s="1"/>
  <c r="AD17" i="3" a="1"/>
  <c r="AD17" i="3" s="1"/>
  <c r="AC17" i="3" a="1"/>
  <c r="AC17" i="3" s="1"/>
  <c r="AB17" i="3" a="1"/>
  <c r="AB17" i="3" s="1"/>
  <c r="AA17" i="3" a="1"/>
  <c r="AA17" i="3" s="1"/>
  <c r="Z17" i="3" a="1"/>
  <c r="Z17" i="3" s="1"/>
  <c r="Y17" i="3" a="1"/>
  <c r="Y17" i="3" s="1"/>
  <c r="X17" i="3" a="1"/>
  <c r="X17" i="3" s="1"/>
  <c r="W17" i="3" a="1"/>
  <c r="W17" i="3" s="1"/>
  <c r="V17" i="3" a="1"/>
  <c r="V17" i="3" s="1"/>
  <c r="U17" i="3" a="1"/>
  <c r="U17" i="3" s="1"/>
  <c r="T17" i="3" a="1"/>
  <c r="T17" i="3" s="1"/>
  <c r="S17" i="3" a="1"/>
  <c r="S17" i="3" s="1"/>
  <c r="R17" i="3" a="1"/>
  <c r="R17" i="3" s="1"/>
  <c r="Q17" i="3" a="1"/>
  <c r="Q17" i="3" s="1"/>
  <c r="P17" i="3" a="1"/>
  <c r="P17" i="3" s="1"/>
  <c r="O17" i="3" a="1"/>
  <c r="O17" i="3" s="1"/>
  <c r="N17" i="3" a="1"/>
  <c r="N17" i="3" s="1"/>
  <c r="M17" i="3" a="1"/>
  <c r="M17" i="3" s="1"/>
  <c r="L17" i="3" a="1"/>
  <c r="L17" i="3" s="1"/>
  <c r="K17" i="3" a="1"/>
  <c r="K17" i="3" s="1"/>
  <c r="J17" i="3" a="1"/>
  <c r="J17" i="3" s="1"/>
  <c r="I17" i="3" a="1"/>
  <c r="I17" i="3" s="1"/>
  <c r="H17" i="3" a="1"/>
  <c r="H17" i="3" s="1"/>
  <c r="G17" i="3" a="1"/>
  <c r="G17" i="3" s="1"/>
  <c r="F17" i="3" a="1"/>
  <c r="F17" i="3" s="1"/>
  <c r="E17" i="3" a="1"/>
  <c r="E17" i="3" s="1"/>
  <c r="D17" i="3" a="1"/>
  <c r="D17" i="3" s="1"/>
  <c r="AG16" i="3" a="1"/>
  <c r="AG16" i="3" s="1"/>
  <c r="AF16" i="3" a="1"/>
  <c r="AF16" i="3" s="1"/>
  <c r="AE16" i="3" a="1"/>
  <c r="AE16" i="3" s="1"/>
  <c r="AD16" i="3" a="1"/>
  <c r="AD16" i="3" s="1"/>
  <c r="AC16" i="3" a="1"/>
  <c r="AC16" i="3" s="1"/>
  <c r="AB16" i="3" a="1"/>
  <c r="AB16" i="3" s="1"/>
  <c r="AA16" i="3" a="1"/>
  <c r="AA16" i="3" s="1"/>
  <c r="Z16" i="3" a="1"/>
  <c r="Z16" i="3" s="1"/>
  <c r="Y16" i="3" a="1"/>
  <c r="Y16" i="3" s="1"/>
  <c r="X16" i="3" a="1"/>
  <c r="X16" i="3" s="1"/>
  <c r="W16" i="3" a="1"/>
  <c r="W16" i="3" s="1"/>
  <c r="V16" i="3" a="1"/>
  <c r="V16" i="3" s="1"/>
  <c r="U16" i="3" a="1"/>
  <c r="U16" i="3" s="1"/>
  <c r="T16" i="3" a="1"/>
  <c r="T16" i="3" s="1"/>
  <c r="S16" i="3" a="1"/>
  <c r="S16" i="3" s="1"/>
  <c r="R16" i="3" a="1"/>
  <c r="R16" i="3" s="1"/>
  <c r="Q16" i="3" a="1"/>
  <c r="Q16" i="3" s="1"/>
  <c r="P16" i="3" a="1"/>
  <c r="P16" i="3" s="1"/>
  <c r="O16" i="3" a="1"/>
  <c r="O16" i="3" s="1"/>
  <c r="N16" i="3" a="1"/>
  <c r="N16" i="3" s="1"/>
  <c r="M16" i="3" a="1"/>
  <c r="M16" i="3" s="1"/>
  <c r="L16" i="3" a="1"/>
  <c r="L16" i="3" s="1"/>
  <c r="K16" i="3" a="1"/>
  <c r="K16" i="3" s="1"/>
  <c r="J16" i="3" a="1"/>
  <c r="J16" i="3" s="1"/>
  <c r="I16" i="3" a="1"/>
  <c r="I16" i="3" s="1"/>
  <c r="H16" i="3" a="1"/>
  <c r="H16" i="3" s="1"/>
  <c r="G16" i="3" a="1"/>
  <c r="G16" i="3" s="1"/>
  <c r="F16" i="3" a="1"/>
  <c r="F16" i="3" s="1"/>
  <c r="E16" i="3" a="1"/>
  <c r="E16" i="3" s="1"/>
  <c r="D16" i="3" a="1"/>
  <c r="D16" i="3" s="1"/>
  <c r="AG15" i="3" a="1"/>
  <c r="AG15" i="3" s="1"/>
  <c r="AF15" i="3" a="1"/>
  <c r="AF15" i="3" s="1"/>
  <c r="AE15" i="3" a="1"/>
  <c r="AE15" i="3" s="1"/>
  <c r="AD15" i="3" a="1"/>
  <c r="AD15" i="3" s="1"/>
  <c r="AC15" i="3" a="1"/>
  <c r="AC15" i="3" s="1"/>
  <c r="AB15" i="3" a="1"/>
  <c r="AB15" i="3" s="1"/>
  <c r="AA15" i="3" a="1"/>
  <c r="AA15" i="3" s="1"/>
  <c r="Z15" i="3" a="1"/>
  <c r="Z15" i="3" s="1"/>
  <c r="Y15" i="3" a="1"/>
  <c r="Y15" i="3" s="1"/>
  <c r="X15" i="3" a="1"/>
  <c r="X15" i="3" s="1"/>
  <c r="W15" i="3" a="1"/>
  <c r="W15" i="3" s="1"/>
  <c r="V15" i="3" a="1"/>
  <c r="V15" i="3" s="1"/>
  <c r="U15" i="3" a="1"/>
  <c r="U15" i="3" s="1"/>
  <c r="T15" i="3" a="1"/>
  <c r="T15" i="3" s="1"/>
  <c r="S15" i="3" a="1"/>
  <c r="S15" i="3" s="1"/>
  <c r="R15" i="3" a="1"/>
  <c r="R15" i="3" s="1"/>
  <c r="Q15" i="3" a="1"/>
  <c r="Q15" i="3" s="1"/>
  <c r="P15" i="3" a="1"/>
  <c r="P15" i="3" s="1"/>
  <c r="O15" i="3" a="1"/>
  <c r="O15" i="3" s="1"/>
  <c r="N15" i="3" a="1"/>
  <c r="N15" i="3" s="1"/>
  <c r="M15" i="3" a="1"/>
  <c r="M15" i="3" s="1"/>
  <c r="L15" i="3" a="1"/>
  <c r="L15" i="3" s="1"/>
  <c r="K15" i="3" a="1"/>
  <c r="K15" i="3" s="1"/>
  <c r="J15" i="3" a="1"/>
  <c r="J15" i="3" s="1"/>
  <c r="I15" i="3" a="1"/>
  <c r="I15" i="3" s="1"/>
  <c r="H15" i="3" a="1"/>
  <c r="H15" i="3" s="1"/>
  <c r="G15" i="3" a="1"/>
  <c r="G15" i="3" s="1"/>
  <c r="F15" i="3" a="1"/>
  <c r="F15" i="3" s="1"/>
  <c r="E15" i="3" a="1"/>
  <c r="E15" i="3" s="1"/>
  <c r="D15" i="3" a="1"/>
  <c r="D15" i="3" s="1"/>
  <c r="AG14" i="3" a="1"/>
  <c r="AG14" i="3" s="1"/>
  <c r="AF14" i="3" a="1"/>
  <c r="AF14" i="3" s="1"/>
  <c r="AE14" i="3" a="1"/>
  <c r="AE14" i="3" s="1"/>
  <c r="AD14" i="3" a="1"/>
  <c r="AD14" i="3" s="1"/>
  <c r="AC14" i="3" a="1"/>
  <c r="AC14" i="3" s="1"/>
  <c r="AB14" i="3" a="1"/>
  <c r="AB14" i="3" s="1"/>
  <c r="AA14" i="3" a="1"/>
  <c r="AA14" i="3" s="1"/>
  <c r="Z14" i="3" a="1"/>
  <c r="Z14" i="3" s="1"/>
  <c r="Y14" i="3" a="1"/>
  <c r="Y14" i="3" s="1"/>
  <c r="X14" i="3" a="1"/>
  <c r="X14" i="3" s="1"/>
  <c r="W14" i="3" a="1"/>
  <c r="W14" i="3" s="1"/>
  <c r="V14" i="3" a="1"/>
  <c r="V14" i="3" s="1"/>
  <c r="U14" i="3" a="1"/>
  <c r="U14" i="3" s="1"/>
  <c r="T14" i="3" a="1"/>
  <c r="T14" i="3" s="1"/>
  <c r="S14" i="3" a="1"/>
  <c r="S14" i="3" s="1"/>
  <c r="R14" i="3" a="1"/>
  <c r="R14" i="3" s="1"/>
  <c r="Q14" i="3" a="1"/>
  <c r="Q14" i="3" s="1"/>
  <c r="P14" i="3" a="1"/>
  <c r="P14" i="3" s="1"/>
  <c r="O14" i="3" a="1"/>
  <c r="O14" i="3" s="1"/>
  <c r="N14" i="3" a="1"/>
  <c r="N14" i="3" s="1"/>
  <c r="M14" i="3" a="1"/>
  <c r="M14" i="3" s="1"/>
  <c r="L14" i="3" a="1"/>
  <c r="L14" i="3" s="1"/>
  <c r="K14" i="3" a="1"/>
  <c r="K14" i="3" s="1"/>
  <c r="J14" i="3" a="1"/>
  <c r="J14" i="3" s="1"/>
  <c r="I14" i="3" a="1"/>
  <c r="I14" i="3" s="1"/>
  <c r="H14" i="3" a="1"/>
  <c r="H14" i="3" s="1"/>
  <c r="G14" i="3" a="1"/>
  <c r="G14" i="3" s="1"/>
  <c r="F14" i="3" a="1"/>
  <c r="F14" i="3" s="1"/>
  <c r="E14" i="3" a="1"/>
  <c r="E14" i="3" s="1"/>
  <c r="D14" i="3" a="1"/>
  <c r="D14" i="3" s="1"/>
  <c r="AG13" i="3" a="1"/>
  <c r="AG13" i="3" s="1"/>
  <c r="AF13" i="3" a="1"/>
  <c r="AF13" i="3" s="1"/>
  <c r="AE13" i="3" a="1"/>
  <c r="AE13" i="3" s="1"/>
  <c r="AD13" i="3" a="1"/>
  <c r="AD13" i="3" s="1"/>
  <c r="AC13" i="3" a="1"/>
  <c r="AC13" i="3" s="1"/>
  <c r="AB13" i="3" a="1"/>
  <c r="AB13" i="3" s="1"/>
  <c r="AA13" i="3" a="1"/>
  <c r="AA13" i="3" s="1"/>
  <c r="Z13" i="3" a="1"/>
  <c r="Z13" i="3" s="1"/>
  <c r="Y13" i="3" a="1"/>
  <c r="Y13" i="3" s="1"/>
  <c r="X13" i="3" a="1"/>
  <c r="X13" i="3" s="1"/>
  <c r="W13" i="3" a="1"/>
  <c r="W13" i="3" s="1"/>
  <c r="V13" i="3" a="1"/>
  <c r="V13" i="3" s="1"/>
  <c r="U13" i="3" a="1"/>
  <c r="U13" i="3" s="1"/>
  <c r="T13" i="3" a="1"/>
  <c r="T13" i="3" s="1"/>
  <c r="S13" i="3" a="1"/>
  <c r="S13" i="3" s="1"/>
  <c r="R13" i="3" a="1"/>
  <c r="R13" i="3" s="1"/>
  <c r="Q13" i="3" a="1"/>
  <c r="Q13" i="3" s="1"/>
  <c r="P13" i="3" a="1"/>
  <c r="P13" i="3" s="1"/>
  <c r="O13" i="3" a="1"/>
  <c r="O13" i="3" s="1"/>
  <c r="N13" i="3" a="1"/>
  <c r="N13" i="3" s="1"/>
  <c r="M13" i="3" a="1"/>
  <c r="M13" i="3" s="1"/>
  <c r="L13" i="3" a="1"/>
  <c r="L13" i="3" s="1"/>
  <c r="K13" i="3" a="1"/>
  <c r="K13" i="3" s="1"/>
  <c r="J13" i="3" a="1"/>
  <c r="J13" i="3" s="1"/>
  <c r="I13" i="3" a="1"/>
  <c r="I13" i="3" s="1"/>
  <c r="H13" i="3" a="1"/>
  <c r="H13" i="3" s="1"/>
  <c r="G13" i="3" a="1"/>
  <c r="G13" i="3" s="1"/>
  <c r="F13" i="3" a="1"/>
  <c r="F13" i="3" s="1"/>
  <c r="E13" i="3" a="1"/>
  <c r="E13" i="3" s="1"/>
  <c r="D13" i="3" a="1"/>
  <c r="D13" i="3" s="1"/>
  <c r="AG12" i="3" a="1"/>
  <c r="AG12" i="3" s="1"/>
  <c r="AF12" i="3" a="1"/>
  <c r="AF12" i="3" s="1"/>
  <c r="AE12" i="3" a="1"/>
  <c r="AE12" i="3" s="1"/>
  <c r="AD12" i="3" a="1"/>
  <c r="AD12" i="3" s="1"/>
  <c r="AC12" i="3" a="1"/>
  <c r="AC12" i="3" s="1"/>
  <c r="AB12" i="3" a="1"/>
  <c r="AB12" i="3" s="1"/>
  <c r="AA12" i="3" a="1"/>
  <c r="AA12" i="3" s="1"/>
  <c r="Z12" i="3" a="1"/>
  <c r="Z12" i="3" s="1"/>
  <c r="Y12" i="3" a="1"/>
  <c r="Y12" i="3" s="1"/>
  <c r="X12" i="3" a="1"/>
  <c r="X12" i="3" s="1"/>
  <c r="W12" i="3" a="1"/>
  <c r="W12" i="3" s="1"/>
  <c r="V12" i="3" a="1"/>
  <c r="V12" i="3" s="1"/>
  <c r="U12" i="3" a="1"/>
  <c r="U12" i="3" s="1"/>
  <c r="T12" i="3" a="1"/>
  <c r="T12" i="3" s="1"/>
  <c r="S12" i="3" a="1"/>
  <c r="S12" i="3" s="1"/>
  <c r="R12" i="3" a="1"/>
  <c r="R12" i="3" s="1"/>
  <c r="Q12" i="3" a="1"/>
  <c r="Q12" i="3" s="1"/>
  <c r="P12" i="3" a="1"/>
  <c r="P12" i="3" s="1"/>
  <c r="O12" i="3" a="1"/>
  <c r="O12" i="3" s="1"/>
  <c r="N12" i="3" a="1"/>
  <c r="N12" i="3" s="1"/>
  <c r="M12" i="3" a="1"/>
  <c r="M12" i="3" s="1"/>
  <c r="L12" i="3" a="1"/>
  <c r="L12" i="3" s="1"/>
  <c r="K12" i="3" a="1"/>
  <c r="K12" i="3" s="1"/>
  <c r="J12" i="3" a="1"/>
  <c r="J12" i="3" s="1"/>
  <c r="I12" i="3" a="1"/>
  <c r="I12" i="3" s="1"/>
  <c r="H12" i="3" a="1"/>
  <c r="H12" i="3" s="1"/>
  <c r="G12" i="3" a="1"/>
  <c r="G12" i="3" s="1"/>
  <c r="F12" i="3" a="1"/>
  <c r="F12" i="3" s="1"/>
  <c r="E12" i="3" a="1"/>
  <c r="E12" i="3" s="1"/>
  <c r="D12" i="3" a="1"/>
  <c r="D12" i="3" s="1"/>
  <c r="AG11" i="3" a="1"/>
  <c r="AG11" i="3" s="1"/>
  <c r="AF11" i="3" a="1"/>
  <c r="AF11" i="3" s="1"/>
  <c r="AE11" i="3" a="1"/>
  <c r="AE11" i="3" s="1"/>
  <c r="L30" i="3" a="1"/>
  <c r="L30" i="3" s="1"/>
  <c r="F30" i="3" a="1"/>
  <c r="F30" i="3" s="1"/>
  <c r="AD20" i="3" a="1"/>
  <c r="AD20" i="3" s="1"/>
  <c r="V20" i="3" a="1"/>
  <c r="V20" i="3" s="1"/>
  <c r="P20" i="3" a="1"/>
  <c r="P20" i="3" s="1"/>
  <c r="H20" i="3" a="1"/>
  <c r="H20" i="3" s="1"/>
  <c r="AE19" i="3" a="1"/>
  <c r="AE19" i="3" s="1"/>
  <c r="Y19" i="3" a="1"/>
  <c r="Y19" i="3" s="1"/>
  <c r="S19" i="3" a="1"/>
  <c r="S19" i="3" s="1"/>
  <c r="M19" i="3" a="1"/>
  <c r="M19" i="3" s="1"/>
  <c r="G19" i="3" a="1"/>
  <c r="G19" i="3" s="1"/>
  <c r="AE18" i="3" a="1"/>
  <c r="AE18" i="3" s="1"/>
  <c r="AD11" i="3" a="1"/>
  <c r="AD11" i="3" s="1"/>
  <c r="AA11" i="3" a="1"/>
  <c r="AA11" i="3" s="1"/>
  <c r="Z11" i="3" a="1"/>
  <c r="Z11" i="3" s="1"/>
  <c r="Y11" i="3" a="1"/>
  <c r="Y11" i="3" s="1"/>
  <c r="X11" i="3" a="1"/>
  <c r="X11" i="3" s="1"/>
  <c r="W11" i="3" a="1"/>
  <c r="W11" i="3" s="1"/>
  <c r="V11" i="3" a="1"/>
  <c r="V11" i="3" s="1"/>
  <c r="U11" i="3" a="1"/>
  <c r="U11" i="3" s="1"/>
  <c r="T11" i="3" a="1"/>
  <c r="T11" i="3" s="1"/>
  <c r="S11" i="3" a="1"/>
  <c r="S11" i="3" s="1"/>
  <c r="R11" i="3" a="1"/>
  <c r="R11" i="3" s="1"/>
  <c r="Q11" i="3" a="1"/>
  <c r="Q11" i="3" s="1"/>
  <c r="P11" i="3" a="1"/>
  <c r="P11" i="3" s="1"/>
  <c r="O11" i="3" a="1"/>
  <c r="O11" i="3" s="1"/>
  <c r="N11" i="3" a="1"/>
  <c r="N11" i="3" s="1"/>
  <c r="M11" i="3" a="1"/>
  <c r="M11" i="3" s="1"/>
  <c r="L11" i="3" a="1"/>
  <c r="L11" i="3" s="1"/>
  <c r="K11" i="3" a="1"/>
  <c r="K11" i="3" s="1"/>
  <c r="J11" i="3" a="1"/>
  <c r="J11" i="3" s="1"/>
  <c r="I11" i="3" a="1"/>
  <c r="I11" i="3" s="1"/>
  <c r="H11" i="3" a="1"/>
  <c r="H11" i="3" s="1"/>
  <c r="G11" i="3" a="1"/>
  <c r="G11" i="3" s="1"/>
  <c r="F11" i="3" a="1"/>
  <c r="F11" i="3" s="1"/>
  <c r="E11" i="3" a="1"/>
  <c r="E11" i="3" s="1"/>
  <c r="D11" i="3" a="1"/>
  <c r="D11" i="3" s="1"/>
  <c r="AG10" i="3" a="1"/>
  <c r="AG10" i="3" s="1"/>
  <c r="AF10" i="3" a="1"/>
  <c r="AF10" i="3" s="1"/>
  <c r="AE10" i="3" a="1"/>
  <c r="AE10" i="3" s="1"/>
  <c r="AD10" i="3" a="1"/>
  <c r="AD10" i="3" s="1"/>
  <c r="AC10" i="3" a="1"/>
  <c r="AC10" i="3" s="1"/>
  <c r="AB10" i="3" a="1"/>
  <c r="AB10" i="3" s="1"/>
  <c r="AA10" i="3" a="1"/>
  <c r="AA10" i="3" s="1"/>
  <c r="Z10" i="3" a="1"/>
  <c r="Z10" i="3" s="1"/>
  <c r="Y10" i="3" a="1"/>
  <c r="Y10" i="3" s="1"/>
  <c r="X10" i="3" a="1"/>
  <c r="X10" i="3" s="1"/>
  <c r="W10" i="3" a="1"/>
  <c r="W10" i="3" s="1"/>
  <c r="V10" i="3" a="1"/>
  <c r="V10" i="3" s="1"/>
  <c r="U10" i="3" a="1"/>
  <c r="U10" i="3" s="1"/>
  <c r="T10" i="3" a="1"/>
  <c r="T10" i="3" s="1"/>
  <c r="S10" i="3" a="1"/>
  <c r="S10" i="3" s="1"/>
  <c r="R10" i="3" a="1"/>
  <c r="R10" i="3" s="1"/>
  <c r="Q10" i="3" a="1"/>
  <c r="Q10" i="3" s="1"/>
  <c r="P10" i="3" a="1"/>
  <c r="P10" i="3" s="1"/>
  <c r="O10" i="3" a="1"/>
  <c r="O10" i="3" s="1"/>
  <c r="N10" i="3" a="1"/>
  <c r="N10" i="3" s="1"/>
  <c r="M10" i="3" a="1"/>
  <c r="M10" i="3" s="1"/>
  <c r="L10" i="3" a="1"/>
  <c r="L10" i="3" s="1"/>
  <c r="K10" i="3" a="1"/>
  <c r="K10" i="3" s="1"/>
  <c r="J10" i="3" a="1"/>
  <c r="J10" i="3" s="1"/>
  <c r="I10" i="3" a="1"/>
  <c r="I10" i="3" s="1"/>
  <c r="H10" i="3" a="1"/>
  <c r="H10" i="3" s="1"/>
  <c r="G10" i="3" a="1"/>
  <c r="G10" i="3" s="1"/>
  <c r="F10" i="3" a="1"/>
  <c r="F10" i="3" s="1"/>
  <c r="E10" i="3" a="1"/>
  <c r="E10" i="3" s="1"/>
  <c r="D10" i="3" a="1"/>
  <c r="D10" i="3" s="1"/>
  <c r="AG9" i="3" a="1"/>
  <c r="AG9" i="3" s="1"/>
  <c r="AF9" i="3" a="1"/>
  <c r="AF9" i="3" s="1"/>
  <c r="AE9" i="3" a="1"/>
  <c r="AE9" i="3" s="1"/>
  <c r="AD9" i="3" a="1"/>
  <c r="AD9" i="3" s="1"/>
  <c r="AC9" i="3" a="1"/>
  <c r="AC9" i="3" s="1"/>
  <c r="AB9" i="3" a="1"/>
  <c r="AB9" i="3" s="1"/>
  <c r="AA9" i="3" a="1"/>
  <c r="AA9" i="3" s="1"/>
  <c r="Z9" i="3" a="1"/>
  <c r="Z9" i="3" s="1"/>
  <c r="Y9" i="3" a="1"/>
  <c r="Y9" i="3" s="1"/>
  <c r="X9" i="3" a="1"/>
  <c r="X9" i="3" s="1"/>
  <c r="W9" i="3" a="1"/>
  <c r="W9" i="3" s="1"/>
  <c r="V9" i="3" a="1"/>
  <c r="V9" i="3" s="1"/>
  <c r="U9" i="3" a="1"/>
  <c r="U9" i="3" s="1"/>
  <c r="T9" i="3" a="1"/>
  <c r="T9" i="3" s="1"/>
  <c r="S9" i="3" a="1"/>
  <c r="S9" i="3" s="1"/>
  <c r="R9" i="3" a="1"/>
  <c r="R9" i="3" s="1"/>
  <c r="Q9" i="3" a="1"/>
  <c r="Q9" i="3" s="1"/>
  <c r="P9" i="3" a="1"/>
  <c r="P9" i="3" s="1"/>
  <c r="O9" i="3" a="1"/>
  <c r="O9" i="3" s="1"/>
  <c r="N9" i="3" a="1"/>
  <c r="N9" i="3" s="1"/>
  <c r="M9" i="3" a="1"/>
  <c r="M9" i="3" s="1"/>
  <c r="L9" i="3" a="1"/>
  <c r="L9" i="3" s="1"/>
  <c r="K9" i="3" a="1"/>
  <c r="K9" i="3" s="1"/>
  <c r="J9" i="3" a="1"/>
  <c r="J9" i="3" s="1"/>
  <c r="I9" i="3" a="1"/>
  <c r="I9" i="3" s="1"/>
  <c r="H9" i="3" a="1"/>
  <c r="H9" i="3" s="1"/>
  <c r="G9" i="3" a="1"/>
  <c r="G9" i="3" s="1"/>
  <c r="F9" i="3" a="1"/>
  <c r="F9" i="3" s="1"/>
  <c r="E9" i="3" a="1"/>
  <c r="E9" i="3" s="1"/>
  <c r="D9" i="3" a="1"/>
  <c r="D9" i="3" s="1"/>
  <c r="AG8" i="3" a="1"/>
  <c r="AG8" i="3" s="1"/>
  <c r="AF8" i="3" a="1"/>
  <c r="AF8" i="3" s="1"/>
  <c r="AE8" i="3" a="1"/>
  <c r="AE8" i="3" s="1"/>
  <c r="AD8" i="3" a="1"/>
  <c r="AD8" i="3" s="1"/>
  <c r="AC8" i="3" a="1"/>
  <c r="AC8" i="3" s="1"/>
  <c r="AB8" i="3" a="1"/>
  <c r="AB8" i="3" s="1"/>
  <c r="AA8" i="3" a="1"/>
  <c r="AA8" i="3" s="1"/>
  <c r="Z8" i="3" a="1"/>
  <c r="Z8" i="3" s="1"/>
  <c r="Y8" i="3" a="1"/>
  <c r="Y8" i="3" s="1"/>
  <c r="X8" i="3" a="1"/>
  <c r="X8" i="3" s="1"/>
  <c r="W8" i="3" a="1"/>
  <c r="W8" i="3" s="1"/>
  <c r="V8" i="3" a="1"/>
  <c r="V8" i="3" s="1"/>
  <c r="U8" i="3" a="1"/>
  <c r="U8" i="3" s="1"/>
  <c r="T8" i="3" a="1"/>
  <c r="T8" i="3" s="1"/>
  <c r="S8" i="3" a="1"/>
  <c r="S8" i="3" s="1"/>
  <c r="R8" i="3" a="1"/>
  <c r="R8" i="3" s="1"/>
  <c r="Q8" i="3" a="1"/>
  <c r="Q8" i="3" s="1"/>
  <c r="P8" i="3" a="1"/>
  <c r="P8" i="3" s="1"/>
  <c r="O8" i="3" a="1"/>
  <c r="O8" i="3" s="1"/>
  <c r="N8" i="3" a="1"/>
  <c r="N8" i="3" s="1"/>
  <c r="M8" i="3" a="1"/>
  <c r="M8" i="3" s="1"/>
  <c r="L8" i="3" a="1"/>
  <c r="L8" i="3" s="1"/>
  <c r="K8" i="3" a="1"/>
  <c r="K8" i="3" s="1"/>
  <c r="J8" i="3" a="1"/>
  <c r="J8" i="3" s="1"/>
  <c r="I8" i="3" a="1"/>
  <c r="I8" i="3" s="1"/>
  <c r="H8" i="3" a="1"/>
  <c r="H8" i="3" s="1"/>
  <c r="G8" i="3" a="1"/>
  <c r="G8" i="3" s="1"/>
  <c r="F8" i="3" a="1"/>
  <c r="F8" i="3" s="1"/>
  <c r="E8" i="3" a="1"/>
  <c r="E8" i="3" s="1"/>
  <c r="D8" i="3" a="1"/>
  <c r="D8" i="3" s="1"/>
  <c r="AG7" i="3" a="1"/>
  <c r="AG7" i="3" s="1"/>
  <c r="AF7" i="3" a="1"/>
  <c r="AF7" i="3" s="1"/>
  <c r="AE7" i="3" a="1"/>
  <c r="AE7" i="3" s="1"/>
  <c r="AD7" i="3" a="1"/>
  <c r="AD7" i="3" s="1"/>
  <c r="AC7" i="3" a="1"/>
  <c r="AC7" i="3" s="1"/>
  <c r="AB7" i="3" a="1"/>
  <c r="AB7" i="3" s="1"/>
  <c r="AA7" i="3" a="1"/>
  <c r="AA7" i="3" s="1"/>
  <c r="Z7" i="3" a="1"/>
  <c r="Z7" i="3" s="1"/>
  <c r="Y7" i="3" a="1"/>
  <c r="Y7" i="3" s="1"/>
  <c r="X7" i="3" a="1"/>
  <c r="X7" i="3" s="1"/>
  <c r="W7" i="3" a="1"/>
  <c r="W7" i="3" s="1"/>
  <c r="V7" i="3" a="1"/>
  <c r="V7" i="3" s="1"/>
  <c r="U7" i="3" a="1"/>
  <c r="U7" i="3" s="1"/>
  <c r="T7" i="3" a="1"/>
  <c r="T7" i="3" s="1"/>
  <c r="S7" i="3" a="1"/>
  <c r="S7" i="3" s="1"/>
  <c r="R7" i="3" a="1"/>
  <c r="R7" i="3" s="1"/>
  <c r="Q7" i="3" a="1"/>
  <c r="Q7" i="3" s="1"/>
  <c r="P7" i="3" a="1"/>
  <c r="P7" i="3" s="1"/>
  <c r="O7" i="3" a="1"/>
  <c r="O7" i="3" s="1"/>
  <c r="N7" i="3" a="1"/>
  <c r="N7" i="3" s="1"/>
  <c r="M7" i="3" a="1"/>
  <c r="M7" i="3" s="1"/>
  <c r="L7" i="3" a="1"/>
  <c r="L7" i="3" s="1"/>
  <c r="K7" i="3" a="1"/>
  <c r="K7" i="3" s="1"/>
  <c r="J7" i="3" a="1"/>
  <c r="J7" i="3" s="1"/>
  <c r="I7" i="3" a="1"/>
  <c r="I7" i="3" s="1"/>
  <c r="H7" i="3" a="1"/>
  <c r="H7" i="3" s="1"/>
  <c r="G7" i="3" a="1"/>
  <c r="G7" i="3" s="1"/>
  <c r="F7" i="3" a="1"/>
  <c r="F7" i="3" s="1"/>
  <c r="E7" i="3" a="1"/>
  <c r="E7" i="3" s="1"/>
  <c r="D7" i="3" a="1"/>
  <c r="D7" i="3" s="1"/>
  <c r="AG6" i="3" a="1"/>
  <c r="AG6" i="3" s="1"/>
  <c r="AF6" i="3" a="1"/>
  <c r="AF6" i="3" s="1"/>
  <c r="AE6" i="3" a="1"/>
  <c r="AE6" i="3" s="1"/>
  <c r="AD6" i="3" a="1"/>
  <c r="AD6" i="3" s="1"/>
  <c r="AC6" i="3" a="1"/>
  <c r="AC6" i="3" s="1"/>
  <c r="AB6" i="3" a="1"/>
  <c r="AB6" i="3" s="1"/>
  <c r="AA6" i="3" a="1"/>
  <c r="AA6" i="3" s="1"/>
  <c r="Z6" i="3" a="1"/>
  <c r="Z6" i="3" s="1"/>
  <c r="Y6" i="3" a="1"/>
  <c r="Y6" i="3" s="1"/>
  <c r="X6" i="3" a="1"/>
  <c r="X6" i="3" s="1"/>
  <c r="W6" i="3" a="1"/>
  <c r="W6" i="3" s="1"/>
  <c r="V6" i="3" a="1"/>
  <c r="V6" i="3" s="1"/>
  <c r="U6" i="3" a="1"/>
  <c r="U6" i="3" s="1"/>
  <c r="T6" i="3" a="1"/>
  <c r="T6" i="3" s="1"/>
  <c r="S6" i="3" a="1"/>
  <c r="S6" i="3" s="1"/>
  <c r="R6" i="3" a="1"/>
  <c r="R6" i="3" s="1"/>
  <c r="Q6" i="3" a="1"/>
  <c r="Q6" i="3" s="1"/>
  <c r="P6" i="3" a="1"/>
  <c r="P6" i="3" s="1"/>
  <c r="O6" i="3" a="1"/>
  <c r="O6" i="3" s="1"/>
  <c r="N6" i="3" a="1"/>
  <c r="N6" i="3" s="1"/>
  <c r="M6" i="3" a="1"/>
  <c r="M6" i="3" s="1"/>
  <c r="L6" i="3" a="1"/>
  <c r="L6" i="3" s="1"/>
  <c r="K6" i="3" a="1"/>
  <c r="K6" i="3" s="1"/>
  <c r="J6" i="3" a="1"/>
  <c r="J6" i="3" s="1"/>
  <c r="I6" i="3" a="1"/>
  <c r="I6" i="3" s="1"/>
  <c r="H6" i="3" a="1"/>
  <c r="H6" i="3" s="1"/>
  <c r="G6" i="3" a="1"/>
  <c r="G6" i="3" s="1"/>
  <c r="F6" i="3" a="1"/>
  <c r="F6" i="3" s="1"/>
  <c r="E6" i="3" a="1"/>
  <c r="E6" i="3" s="1"/>
  <c r="D6" i="3" a="1"/>
  <c r="D6" i="3" s="1"/>
  <c r="AG5" i="3" a="1"/>
  <c r="AG5" i="3" s="1"/>
  <c r="AF5" i="3" a="1"/>
  <c r="AF5" i="3" s="1"/>
  <c r="AE5" i="3" a="1"/>
  <c r="AE5" i="3" s="1"/>
  <c r="AD5" i="3" a="1"/>
  <c r="AD5" i="3" s="1"/>
  <c r="AC5" i="3" a="1"/>
  <c r="AC5" i="3" s="1"/>
  <c r="AB5" i="3" a="1"/>
  <c r="AB5" i="3" s="1"/>
  <c r="AA5" i="3" a="1"/>
  <c r="AA5" i="3" s="1"/>
  <c r="Z5" i="3" a="1"/>
  <c r="Z5" i="3" s="1"/>
  <c r="Y5" i="3" a="1"/>
  <c r="Y5" i="3" s="1"/>
  <c r="X5" i="3" a="1"/>
  <c r="X5" i="3" s="1"/>
  <c r="W5" i="3" a="1"/>
  <c r="W5" i="3" s="1"/>
  <c r="V5" i="3" a="1"/>
  <c r="V5" i="3" s="1"/>
  <c r="U5" i="3" a="1"/>
  <c r="U5" i="3" s="1"/>
  <c r="T5" i="3" a="1"/>
  <c r="T5" i="3" s="1"/>
  <c r="S5" i="3" a="1"/>
  <c r="S5" i="3" s="1"/>
  <c r="R5" i="3" a="1"/>
  <c r="R5" i="3" s="1"/>
  <c r="Q5" i="3" a="1"/>
  <c r="Q5" i="3" s="1"/>
  <c r="P5" i="3" a="1"/>
  <c r="P5" i="3" s="1"/>
  <c r="O5" i="3" a="1"/>
  <c r="O5" i="3" s="1"/>
  <c r="N5" i="3" a="1"/>
  <c r="N5" i="3" s="1"/>
  <c r="M5" i="3" a="1"/>
  <c r="M5" i="3" s="1"/>
  <c r="L5" i="3" a="1"/>
  <c r="L5" i="3" s="1"/>
  <c r="K5" i="3" a="1"/>
  <c r="K5" i="3" s="1"/>
  <c r="J5" i="3" a="1"/>
  <c r="J5" i="3" s="1"/>
  <c r="I5" i="3" a="1"/>
  <c r="I5" i="3" s="1"/>
  <c r="H5" i="3" a="1"/>
  <c r="H5" i="3" s="1"/>
  <c r="G5" i="3" a="1"/>
  <c r="G5" i="3" s="1"/>
  <c r="F5" i="3" a="1"/>
  <c r="F5" i="3" s="1"/>
  <c r="E5" i="3" a="1"/>
  <c r="E5" i="3" s="1"/>
  <c r="D5" i="3" a="1"/>
  <c r="D5" i="3" s="1"/>
  <c r="AG4" i="3" a="1"/>
  <c r="AG4" i="3" s="1"/>
  <c r="AF4" i="3" a="1"/>
  <c r="AF4" i="3" s="1"/>
  <c r="AE4" i="3" a="1"/>
  <c r="AE4" i="3" s="1"/>
  <c r="AD4" i="3" a="1"/>
  <c r="AD4" i="3" s="1"/>
  <c r="AC4" i="3" a="1"/>
  <c r="AC4" i="3" s="1"/>
  <c r="AB4" i="3" a="1"/>
  <c r="AB4" i="3" s="1"/>
  <c r="AA4" i="3" a="1"/>
  <c r="AA4" i="3" s="1"/>
  <c r="Z4" i="3" a="1"/>
  <c r="Z4" i="3" s="1"/>
  <c r="Y4" i="3" a="1"/>
  <c r="Y4" i="3" s="1"/>
  <c r="X4" i="3" a="1"/>
  <c r="X4" i="3" s="1"/>
  <c r="W4" i="3" a="1"/>
  <c r="W4" i="3" s="1"/>
  <c r="V4" i="3" a="1"/>
  <c r="V4" i="3" s="1"/>
  <c r="U4" i="3" a="1"/>
  <c r="U4" i="3" s="1"/>
  <c r="T4" i="3" a="1"/>
  <c r="T4" i="3" s="1"/>
  <c r="S4" i="3" a="1"/>
  <c r="S4" i="3" s="1"/>
  <c r="R4" i="3" a="1"/>
  <c r="R4" i="3" s="1"/>
  <c r="Q4" i="3" a="1"/>
  <c r="Q4" i="3" s="1"/>
  <c r="P4" i="3" a="1"/>
  <c r="P4" i="3" s="1"/>
  <c r="O4" i="3" a="1"/>
  <c r="O4" i="3" s="1"/>
  <c r="N4" i="3" a="1"/>
  <c r="N4" i="3" s="1"/>
  <c r="M4" i="3" a="1"/>
  <c r="M4" i="3" s="1"/>
  <c r="L4" i="3" a="1"/>
  <c r="L4" i="3" s="1"/>
  <c r="K4" i="3" a="1"/>
  <c r="K4" i="3" s="1"/>
  <c r="J4" i="3" a="1"/>
  <c r="J4" i="3" s="1"/>
  <c r="I4" i="3" a="1"/>
  <c r="I4" i="3" s="1"/>
  <c r="H4" i="3" a="1"/>
  <c r="H4" i="3" s="1"/>
  <c r="G4" i="3" a="1"/>
  <c r="G4" i="3" s="1"/>
  <c r="F4" i="3" a="1"/>
  <c r="F4" i="3" s="1"/>
  <c r="E4" i="3" a="1"/>
  <c r="E4" i="3" s="1"/>
  <c r="D4" i="3" a="1"/>
  <c r="D4" i="3" s="1"/>
  <c r="AG3" i="3" a="1"/>
  <c r="AG3" i="3" s="1"/>
  <c r="AF3" i="3" a="1"/>
  <c r="AF3" i="3" s="1"/>
  <c r="AE3" i="3" a="1"/>
  <c r="AE3" i="3" s="1"/>
  <c r="AD3" i="3" a="1"/>
  <c r="AD3" i="3" s="1"/>
  <c r="AC3" i="3" a="1"/>
  <c r="AC3" i="3" s="1"/>
  <c r="AB3" i="3" a="1"/>
  <c r="AB3" i="3" s="1"/>
  <c r="AA3" i="3" a="1"/>
  <c r="AA3" i="3" s="1"/>
  <c r="Z3" i="3" a="1"/>
  <c r="Z3" i="3" s="1"/>
  <c r="Y3" i="3" a="1"/>
  <c r="Y3" i="3" s="1"/>
  <c r="X3" i="3" a="1"/>
  <c r="X3" i="3" s="1"/>
  <c r="W3" i="3" a="1"/>
  <c r="W3" i="3" s="1"/>
  <c r="V3" i="3" a="1"/>
  <c r="V3" i="3" s="1"/>
  <c r="U3" i="3" a="1"/>
  <c r="U3" i="3" s="1"/>
  <c r="T3" i="3" a="1"/>
  <c r="T3" i="3" s="1"/>
  <c r="S3" i="3" a="1"/>
  <c r="S3" i="3" s="1"/>
  <c r="R3" i="3" a="1"/>
  <c r="R3" i="3" s="1"/>
  <c r="Q3" i="3" a="1"/>
  <c r="Q3" i="3" s="1"/>
  <c r="P3" i="3" a="1"/>
  <c r="P3" i="3" s="1"/>
  <c r="O3" i="3" a="1"/>
  <c r="O3" i="3" s="1"/>
  <c r="N3" i="3" a="1"/>
  <c r="N3" i="3" s="1"/>
  <c r="M3" i="3" a="1"/>
  <c r="M3" i="3" s="1"/>
  <c r="L3" i="3" a="1"/>
  <c r="L3" i="3" s="1"/>
  <c r="K3" i="3" a="1"/>
  <c r="K3" i="3" s="1"/>
  <c r="J3" i="3" a="1"/>
  <c r="J3" i="3" s="1"/>
  <c r="I3" i="3" a="1"/>
  <c r="I3" i="3" s="1"/>
  <c r="H3" i="3" a="1"/>
  <c r="H3" i="3" s="1"/>
  <c r="G3" i="3" a="1"/>
  <c r="G3" i="3" s="1"/>
  <c r="F3" i="3" a="1"/>
  <c r="F3" i="3" s="1"/>
  <c r="E3" i="3" a="1"/>
  <c r="E3" i="3" s="1"/>
  <c r="D3" i="3" a="1"/>
  <c r="D3" i="3" s="1"/>
  <c r="AF20" i="3" a="1"/>
  <c r="AF20" i="3" s="1"/>
  <c r="Z20" i="3" a="1"/>
  <c r="Z20" i="3" s="1"/>
  <c r="T20" i="3" a="1"/>
  <c r="T20" i="3" s="1"/>
  <c r="N20" i="3" a="1"/>
  <c r="N20" i="3" s="1"/>
  <c r="G20" i="3" a="1"/>
  <c r="G20" i="3" s="1"/>
  <c r="AF19" i="3" a="1"/>
  <c r="AF19" i="3" s="1"/>
  <c r="Z19" i="3" a="1"/>
  <c r="Z19" i="3" s="1"/>
  <c r="T19" i="3" a="1"/>
  <c r="T19" i="3" s="1"/>
  <c r="N19" i="3" a="1"/>
  <c r="N19" i="3" s="1"/>
  <c r="H19" i="3" a="1"/>
  <c r="H19" i="3" s="1"/>
  <c r="AG18" i="3" a="1"/>
  <c r="AG18" i="3" s="1"/>
  <c r="AB11" i="3" a="1"/>
  <c r="AB11" i="3" s="1"/>
  <c r="T17" i="8"/>
  <c r="T18" i="8"/>
  <c r="T19" i="8"/>
  <c r="T20" i="8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<sst xmlns="http://schemas.openxmlformats.org/spreadsheetml/2006/main" count="96" uniqueCount="92">
  <si>
    <t>Team</t>
  </si>
  <si>
    <t>Max</t>
  </si>
  <si>
    <t>Score</t>
  </si>
  <si>
    <t>Tie-break</t>
  </si>
  <si>
    <t>TEAMS</t>
  </si>
  <si>
    <t>Min</t>
  </si>
  <si>
    <t>% Perfect</t>
  </si>
  <si>
    <t>#</t>
  </si>
  <si>
    <t>Rd</t>
  </si>
  <si>
    <t>🎯  Quiz Instellingen</t>
  </si>
  <si>
    <t>Configureer rondes en teams — al het andere wordt automatisch bijgewerkt.</t>
  </si>
  <si>
    <t>RONDES</t>
  </si>
  <si>
    <t>Totaal aantal rondes</t>
  </si>
  <si>
    <t>PNT</t>
  </si>
  <si>
    <t>NAAM</t>
  </si>
  <si>
    <t>TEAMNAAM</t>
  </si>
  <si>
    <t>💡  HOE HET WERKT</t>
  </si>
  <si>
    <t>1.  Stel het totale aantal rondes in in het perzikkleurige vak (C4) — max 30</t>
  </si>
  <si>
    <t>2.  Pas het maximum aantal punten per ronde aan in kolom B</t>
  </si>
  <si>
    <t>3.  Hernoem rondes in kolom C (bijv. "Actua", "Doe-ronde")</t>
  </si>
  <si>
    <t>4.  Voeg teamnamen toe of verwijder ze in kolom F — max 60 teams</t>
  </si>
  <si>
    <t>5.  Voer de scores per ronde van elk team in op het tabblad Dashboard
      Totalen en de Ranglijst worden automatisch bijgewerkt</t>
  </si>
  <si>
    <t>🏷️  TIE-BREAK KOLOM</t>
  </si>
  <si>
    <t>Wordt gebruikt op het Dashboard (kolom B) om teams te scheiden die op hetzelfde totale aantal punten eindigen.</t>
  </si>
  <si>
    <t>Stel aan het begin van de quiz een tie-break vraag met een numeriek antwoord (bijv. "Hoeveel eilanden heeft Griekenland?").</t>
  </si>
  <si>
    <t>Voer in Dashboard kolom B het absolute verschil in tussen de gok van elk team en het juiste antwoord.</t>
  </si>
  <si>
    <t>Lager = beter. Het team dat het dichtst bij het juiste antwoord zit (kleinste getal) wint de tie-break. Laat leeg indien niet gebruikt.</t>
  </si>
  <si>
    <t>Totaal</t>
  </si>
  <si>
    <t>Sorteersleutel</t>
  </si>
  <si>
    <t>Rang</t>
  </si>
  <si>
    <t>Quiz Statistieken</t>
  </si>
  <si>
    <t>Geaggregeerde inzichten over alle teams en rondes</t>
  </si>
  <si>
    <t>📊  Score Verdeling</t>
  </si>
  <si>
    <t>Hoogste score in één ronde</t>
  </si>
  <si>
    <t>Laagste score in één ronde</t>
  </si>
  <si>
    <t>Mediaan rondescore</t>
  </si>
  <si>
    <t>Standaarddeviatie van scores</t>
  </si>
  <si>
    <t>Perfecte rondes (max score)</t>
  </si>
  <si>
    <t>Nul rondes (0/10)</t>
  </si>
  <si>
    <t>Rondes op of boven 80% van max</t>
  </si>
  <si>
    <t>Rondes op of onder 30% van max</t>
  </si>
  <si>
    <t>TOTAAL PUNTEN</t>
  </si>
  <si>
    <t>🎯  Spreiding Teamprestaties</t>
  </si>
  <si>
    <t>Beste teamtotaal</t>
  </si>
  <si>
    <t>Slechtste teamtotaal</t>
  </si>
  <si>
    <t>Gemiddeld teamtotaal</t>
  </si>
  <si>
    <t>Score verschil (beste − slechtste)</t>
  </si>
  <si>
    <t>Standaarddeviatie tussen teams</t>
  </si>
  <si>
    <t>Teams boven gemiddelde</t>
  </si>
  <si>
    <t>Beste score % van max</t>
  </si>
  <si>
    <t>Veld gemiddelde % van max</t>
  </si>
  <si>
    <t>GEM / RONDE</t>
  </si>
  <si>
    <t>📈  Moeilijkheidsgraad Ronde</t>
  </si>
  <si>
    <t>Gem</t>
  </si>
  <si>
    <t>Moeilijkheid (langer = makkelijker)</t>
  </si>
  <si>
    <t>De Frietkotbazen</t>
  </si>
  <si>
    <t>Manneke Pis &amp; Co</t>
  </si>
  <si>
    <t>De Trage Schildpadden</t>
  </si>
  <si>
    <t>Stoempers United</t>
  </si>
  <si>
    <t>De Bierbuiken</t>
  </si>
  <si>
    <t>Tjevenbende</t>
  </si>
  <si>
    <t>De Wafelijzers</t>
  </si>
  <si>
    <t>Amai Zeg!</t>
  </si>
  <si>
    <t>De Choco Prinsen</t>
  </si>
  <si>
    <t>Smoutebollen FC</t>
  </si>
  <si>
    <t>De Plezante Pintjes</t>
  </si>
  <si>
    <t>Schele Vanthilt</t>
  </si>
  <si>
    <t>De Kletskoppen</t>
  </si>
  <si>
    <t>Boeren met Verstand</t>
  </si>
  <si>
    <t>De Goe Goesting</t>
  </si>
  <si>
    <t>Jommeke's Wreker</t>
  </si>
  <si>
    <t>De Stoute Schoenen</t>
  </si>
  <si>
    <t>Pataten met Stoofvlees</t>
  </si>
  <si>
    <t>De Zatte Garnaal</t>
  </si>
  <si>
    <t>Kieken zonder Kop</t>
  </si>
  <si>
    <t>De Madammen</t>
  </si>
  <si>
    <t>Gentse Feestneuzen</t>
  </si>
  <si>
    <t>De Lambiek Liga</t>
  </si>
  <si>
    <t>Kortrijkse Krollen</t>
  </si>
  <si>
    <t>De Wijze Uilen</t>
  </si>
  <si>
    <t>Tussenronde: Vlaggen</t>
  </si>
  <si>
    <t>Tussenronde: Droedels</t>
  </si>
  <si>
    <t>Tussenronde: Snel!</t>
  </si>
  <si>
    <t>Rond de wereld</t>
  </si>
  <si>
    <t>Woordslang</t>
  </si>
  <si>
    <t>Lokaal</t>
  </si>
  <si>
    <t>Actua</t>
  </si>
  <si>
    <t>Film</t>
  </si>
  <si>
    <t>Fauna en Flora</t>
  </si>
  <si>
    <t>Muziek</t>
  </si>
  <si>
    <t>Kleuren</t>
  </si>
  <si>
    <t>Eindspel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</si>
</sst>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9" x14ac:knownFonts="1">
    <font>
      <sz val="11"/>
      <color theme="1"/>
      <name val="Aptos Narrow"/>
      <family val="2"/>
      <scheme val="minor"/>
    </font>
    <font>
      <b/>
      <sz val="18"/>
      <color rgb="FFFFFFFF"/>
      <name val="Aptos Narrow"/>
      <family val="2"/>
      <scheme val="minor"/>
    </font>
    <font>
      <b/>
      <sz val="11"/>
      <color rgb="FFFFFFFF"/>
      <name val="Aptos Narrow"/>
      <family val="2"/>
      <scheme val="minor"/>
    </font>
    <font>
      <sz val="11"/>
      <color rgb="FF2D1B4E"/>
      <name val="Aptos"/>
      <family val="2"/>
    </font>
    <font>
      <sz val="11"/>
      <color rgb="FFFFFFFF"/>
      <name val="Aptos Narrow"/>
      <family val="2"/>
      <scheme val="minor"/>
    </font>
    <font>
      <b/>
      <i/>
      <sz val="11"/>
      <color rgb="FF6B7280"/>
      <name val="Aptos Narrow"/>
      <scheme val="minor"/>
    </font>
    <font>
      <i/>
      <sz val="11"/>
      <color rgb="FF6B7280"/>
      <name val="Aptos Narrow"/>
      <scheme val="minor"/>
    </font>
    <font>
      <b/>
      <sz val="13"/>
      <color rgb="FF1E1B4B"/>
      <name val="Aptos Display"/>
    </font>
    <font>
      <sz val="10"/>
      <color rgb="FF6B7280"/>
      <name val="Aptos Narrow"/>
      <scheme val="minor"/>
    </font>
    <font>
      <sz val="11"/>
      <color theme="1"/>
      <name val="Aptos Narrow"/>
      <scheme val="minor"/>
    </font>
    <font>
      <sz val="9"/>
      <color rgb="FF9CA3AF"/>
      <name val="Aptos Display"/>
    </font>
    <font>
      <b/>
      <sz val="9"/>
      <color rgb="FF9CA3AF"/>
      <name val="Aptos Narrow"/>
      <scheme val="minor"/>
    </font>
    <font>
      <sz val="11"/>
      <color rgb="FF9CA3AF"/>
      <name val="Aptos Narrow"/>
      <scheme val="minor"/>
    </font>
    <font>
      <sz val="11"/>
      <color rgb="FF111827"/>
      <name val="Aptos Narrow"/>
      <scheme val="minor"/>
    </font>
    <font>
      <b/>
      <sz val="9"/>
      <color rgb="FF9CA3AF"/>
      <name val="Aptos Narrow"/>
      <family val="2"/>
      <scheme val="minor"/>
    </font>
    <font>
      <sz val="8"/>
      <name val="Aptos Narrow"/>
      <family val="2"/>
      <scheme val="minor"/>
    </font>
    <font>
      <b/>
      <i/>
      <sz val="11"/>
      <color rgb="FF92400E"/>
      <name val="Aptos Narrow"/>
      <scheme val="minor"/>
    </font>
    <font>
      <sz val="11"/>
      <color rgb="FF1F2937"/>
      <name val="Aptos Narrow"/>
      <scheme val="minor"/>
    </font>
    <font>
      <b/>
      <sz val="28"/>
      <color rgb="FFFFFFFF"/>
      <name val="Aptos Display"/>
      <family val="2"/>
    </font>
    <font>
      <b/>
      <sz val="13"/>
      <color rgb="FF1F2937"/>
      <name val="Aptos Display"/>
      <family val="2"/>
    </font>
    <font>
      <b/>
      <sz val="14"/>
      <color rgb="FF9A3412"/>
      <name val="Aptos Display"/>
      <family val="2"/>
    </font>
    <font>
      <b/>
      <sz val="12"/>
      <color rgb="FFC2410C"/>
      <name val="Aptos Narrow"/>
      <family val="2"/>
      <scheme val="minor"/>
    </font>
    <font>
      <b/>
      <sz val="11"/>
      <color rgb="FF1F2937"/>
      <name val="Aptos Narrow"/>
      <family val="2"/>
      <scheme val="minor"/>
    </font>
    <font>
      <b/>
      <sz val="11"/>
      <color rgb="FFC2410C"/>
      <name val="Aptos Narrow"/>
      <family val="2"/>
      <scheme val="minor"/>
    </font>
    <font>
      <sz val="11"/>
      <color rgb="FF1F2937"/>
      <name val="Aptos Narrow"/>
      <family val="2"/>
      <scheme val="minor"/>
    </font>
    <font>
      <b/>
      <sz val="14"/>
      <color rgb="FF78350F"/>
      <name val="Aptos Narrow"/>
      <family val="2"/>
      <scheme val="minor"/>
    </font>
    <font>
      <b/>
      <sz val="14"/>
      <color rgb="FF7C2D12"/>
      <name val="Aptos Narrow"/>
      <family val="2"/>
      <scheme val="minor"/>
    </font>
    <font>
      <b/>
      <sz val="12"/>
      <color rgb="FF7C2D12"/>
      <name val="Aptos Narrow"/>
      <family val="2"/>
      <scheme val="minor"/>
    </font>
    <font>
      <b/>
      <sz val="18"/>
      <color rgb="FF78350F"/>
      <name val="Aptos Narrow"/>
      <family val="2"/>
      <scheme val="minor"/>
    </font>
    <font>
      <sz val="10"/>
      <color rgb="FF1F2937"/>
      <name val="Aptos Narrow"/>
      <family val="2"/>
      <scheme val="minor"/>
    </font>
    <font>
      <sz val="9"/>
      <color rgb="FFC2410C"/>
      <name val="Consolas"/>
      <family val="3"/>
    </font>
    <font>
      <b/>
      <sz val="10"/>
      <color rgb="FF92400E"/>
      <name val="Aptos Narrow"/>
      <family val="2"/>
      <scheme val="minor"/>
    </font>
    <font>
      <b/>
      <sz val="22"/>
      <color rgb="FF9A3412"/>
      <name val="Aptos Narrow"/>
      <family val="2"/>
      <scheme val="minor"/>
    </font>
    <font>
      <i/>
      <sz val="10"/>
      <color rgb="FF78716C"/>
      <name val="Aptos Narrow"/>
      <family val="2"/>
      <scheme val="minor"/>
    </font>
    <font>
      <b/>
      <sz val="13"/>
      <color rgb="FF9A3412"/>
      <name val="Aptos Narrow"/>
      <family val="2"/>
      <scheme val="minor"/>
    </font>
    <font>
      <b/>
      <sz val="12"/>
      <color rgb="FF9A3412"/>
      <name val="Aptos"/>
      <family val="2"/>
    </font>
    <font>
      <b/>
      <sz val="9"/>
      <color rgb="FFFFFFFF"/>
      <name val="Aptos"/>
      <family val="2"/>
    </font>
    <font>
      <b/>
      <sz val="10"/>
      <color rgb="FFC2410C"/>
      <name val="Aptos"/>
      <family val="2"/>
    </font>
    <font>
      <b/>
      <sz val="22"/>
      <color rgb="FFB45309"/>
      <name val="Aptos Narrow"/>
      <family val="2"/>
      <scheme val="minor"/>
    </font>
    <font>
      <b/>
      <sz val="10"/>
      <color rgb="FF1E40AF"/>
      <name val="Aptos Narrow"/>
      <family val="2"/>
      <scheme val="minor"/>
    </font>
    <font>
      <b/>
      <sz val="22"/>
      <color rgb="FF1D4ED8"/>
      <name val="Aptos Narrow"/>
      <family val="2"/>
      <scheme val="minor"/>
    </font>
    <font>
      <b/>
      <sz val="10"/>
      <color rgb="FF166534"/>
      <name val="Aptos Narrow"/>
      <family val="2"/>
      <scheme val="minor"/>
    </font>
    <font>
      <b/>
      <sz val="22"/>
      <color rgb="FF15803D"/>
      <name val="Aptos Narrow"/>
      <family val="2"/>
      <scheme val="minor"/>
    </font>
    <font>
      <b/>
      <sz val="10"/>
      <color rgb="FF9D174D"/>
      <name val="Aptos Narrow"/>
      <family val="2"/>
      <scheme val="minor"/>
    </font>
    <font>
      <b/>
      <sz val="22"/>
      <color rgb="FFBE185D"/>
      <name val="Aptos Narrow"/>
      <family val="2"/>
      <scheme val="minor"/>
    </font>
    <font>
      <sz val="13"/>
      <color rgb="FF1F2937"/>
      <name val="Aptos Display"/>
    </font>
    <font>
      <sz val="11"/>
      <color rgb="FF9A3412"/>
      <name val="Aptos Narrow"/>
      <scheme val="minor"/>
    </font>
    <font>
      <b/>
      <sz val="22"/>
      <color rgb="FF78350F"/>
      <name val="Aptos Narrow"/>
      <family val="2"/>
      <scheme val="minor"/>
    </font>
    <font>
      <b/>
      <sz val="20"/>
      <color rgb="FF78350F"/>
      <name val="Aptos Narrow"/>
      <family val="2"/>
      <scheme val="minor"/>
    </font>
    <font>
      <b/>
      <sz val="18"/>
      <color rgb="FF374151"/>
      <name val="Aptos Narrow"/>
      <family val="2"/>
      <scheme val="minor"/>
    </font>
    <font>
      <b/>
      <sz val="12"/>
      <color rgb="FF374151"/>
      <name val="Aptos Narrow"/>
      <family val="2"/>
      <scheme val="minor"/>
    </font>
    <font>
      <b/>
      <sz val="16"/>
      <color rgb="FF374151"/>
      <name val="Aptos Narrow"/>
      <family val="2"/>
      <scheme val="minor"/>
    </font>
    <font>
      <b/>
      <sz val="16"/>
      <color rgb="FF7C2D12"/>
      <name val="Aptos Narrow"/>
      <family val="2"/>
      <scheme val="minor"/>
    </font>
    <font>
      <b/>
      <sz val="11"/>
      <color rgb="FF9A3412"/>
      <name val="Aptos Narrow"/>
      <family val="2"/>
      <scheme val="minor"/>
    </font>
    <font>
      <b/>
      <sz val="10"/>
      <color rgb="FF65A30D"/>
      <name val="Aptos"/>
      <family val="2"/>
    </font>
    <font>
      <b/>
      <sz val="10"/>
      <color rgb="FFB91C1C"/>
      <name val="Aptos"/>
      <family val="2"/>
    </font>
    <font>
      <b/>
      <sz val="10"/>
      <color rgb="FFFFFFFF"/>
      <name val="Aptos"/>
      <family val="2"/>
    </font>
    <font>
      <b/>
      <sz val="10"/>
      <color rgb="FFFFFFFF"/>
      <name val="Aptos Narrow"/>
      <family val="2"/>
      <scheme val="minor"/>
    </font>
    <font>
      <b/>
      <sz val="10"/>
      <color rgb="FF9A3412"/>
      <name val="Aptos"/>
      <family val="2"/>
    </font>
  </fonts>
  <fills count="1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5F6FA"/>
        <bgColor indexed="64"/>
      </patternFill>
    </fill>
    <fill>
      <patternFill patternType="solid">
        <fgColor rgb="FFFFF8F1"/>
        <bgColor indexed="64"/>
      </patternFill>
    </fill>
    <fill>
      <patternFill patternType="solid">
        <fgColor rgb="FF9A3412"/>
        <bgColor indexed="64"/>
      </patternFill>
    </fill>
    <fill>
      <patternFill patternType="solid">
        <fgColor rgb="FFFFEDD5"/>
        <bgColor indexed="64"/>
      </patternFill>
    </fill>
    <fill>
      <patternFill patternType="solid">
        <fgColor rgb="FFFCE7F3"/>
        <bgColor indexed="64"/>
      </patternFill>
    </fill>
    <fill>
      <patternFill patternType="solid">
        <fgColor rgb="FFFEF3C7"/>
        <bgColor indexed="64"/>
      </patternFill>
    </fill>
    <fill>
      <patternFill patternType="solid">
        <fgColor rgb="FFFFF1E5"/>
        <bgColor indexed="64"/>
      </patternFill>
    </fill>
    <fill>
      <patternFill patternType="solid">
        <fgColor rgb="FFFED7AA"/>
        <bgColor indexed="64"/>
      </patternFill>
    </fill>
    <fill>
      <patternFill patternType="solid">
        <fgColor rgb="FFDBEAFE"/>
        <bgColor indexed="64"/>
      </patternFill>
    </fill>
    <fill>
      <patternFill patternType="solid">
        <fgColor rgb="FFDCFCE7"/>
        <bgColor indexed="64"/>
      </patternFill>
    </fill>
    <fill>
      <patternFill patternType="solid">
        <fgColor rgb="FFE5E7EB"/>
        <bgColor indexed="64"/>
      </patternFill>
    </fill>
  </fills>
  <borders count="28">
    <border>
      <left/>
      <right/>
      <top/>
      <bottom/>
      <diagonal/>
    </border>
    <border>
      <left/>
      <right/>
      <top style="hair">
        <color rgb="FFFDF1E5"/>
      </top>
      <bottom/>
      <diagonal/>
    </border>
    <border>
      <left/>
      <right/>
      <top/>
      <bottom style="hair">
        <color rgb="FFFBE4D2"/>
      </bottom>
      <diagonal/>
    </border>
    <border>
      <left/>
      <right/>
      <top style="thin">
        <color rgb="FFF4D6BD"/>
      </top>
      <bottom/>
      <diagonal/>
    </border>
    <border>
      <left/>
      <right/>
      <top/>
      <bottom style="thin">
        <color rgb="FFF4D6BD"/>
      </bottom>
      <diagonal/>
    </border>
    <border>
      <left style="thin">
        <color rgb="FFF4D6BD"/>
      </left>
      <right/>
      <top style="thin">
        <color rgb="FFF4D6BD"/>
      </top>
      <bottom/>
      <diagonal/>
    </border>
    <border>
      <left style="thin">
        <color rgb="FFF4D6BD"/>
      </left>
      <right/>
      <top/>
      <bottom style="hair">
        <color rgb="FFFBE4D2"/>
      </bottom>
      <diagonal/>
    </border>
    <border>
      <left style="thin">
        <color rgb="FFF4D6BD"/>
      </left>
      <right/>
      <top/>
      <bottom/>
      <diagonal/>
    </border>
    <border>
      <left style="thin">
        <color rgb="FFF4D6BD"/>
      </left>
      <right/>
      <top style="hair">
        <color rgb="FFFDF1E5"/>
      </top>
      <bottom/>
      <diagonal/>
    </border>
    <border>
      <left style="thin">
        <color rgb="FFF4D6BD"/>
      </left>
      <right/>
      <top style="hair">
        <color rgb="FFFDF1E5"/>
      </top>
      <bottom style="hair">
        <color rgb="FFFDF1E5"/>
      </bottom>
      <diagonal/>
    </border>
    <border>
      <left style="thin">
        <color rgb="FFF4D6BD"/>
      </left>
      <right/>
      <top/>
      <bottom style="thin">
        <color rgb="FFF4D6BD"/>
      </bottom>
      <diagonal/>
    </border>
    <border>
      <left/>
      <right style="thin">
        <color rgb="FFF4D6BD"/>
      </right>
      <top style="thin">
        <color rgb="FFF4D6BD"/>
      </top>
      <bottom/>
      <diagonal/>
    </border>
    <border>
      <left/>
      <right style="thin">
        <color rgb="FFF4D6BD"/>
      </right>
      <top/>
      <bottom style="hair">
        <color rgb="FFFBE4D2"/>
      </bottom>
      <diagonal/>
    </border>
    <border>
      <left/>
      <right style="thin">
        <color rgb="FFF4D6BD"/>
      </right>
      <top/>
      <bottom/>
      <diagonal/>
    </border>
    <border>
      <left/>
      <right style="thin">
        <color rgb="FFF4D6BD"/>
      </right>
      <top style="hair">
        <color rgb="FFFDF1E5"/>
      </top>
      <bottom/>
      <diagonal/>
    </border>
    <border>
      <left/>
      <right style="thin">
        <color rgb="FFF4D6BD"/>
      </right>
      <top style="hair">
        <color rgb="FFFDF1E5"/>
      </top>
      <bottom style="hair">
        <color rgb="FFFDF1E5"/>
      </bottom>
      <diagonal/>
    </border>
    <border>
      <left/>
      <right style="thin">
        <color rgb="FFF4D6BD"/>
      </right>
      <top/>
      <bottom style="thin">
        <color rgb="FFF4D6BD"/>
      </bottom>
      <diagonal/>
    </border>
    <border>
      <left style="thin">
        <color rgb="FFF4D6BD"/>
      </left>
      <right style="thin">
        <color rgb="FFF4D6BD"/>
      </right>
      <top style="thin">
        <color rgb="FFF4D6BD"/>
      </top>
      <bottom/>
      <diagonal/>
    </border>
    <border>
      <left style="thin">
        <color rgb="FFF4D6BD"/>
      </left>
      <right style="thin">
        <color rgb="FFF4D6BD"/>
      </right>
      <top/>
      <bottom style="hair">
        <color rgb="FFFBE4D2"/>
      </bottom>
      <diagonal/>
    </border>
    <border>
      <left style="thin">
        <color rgb="FFF4D6BD"/>
      </left>
      <right style="thin">
        <color rgb="FFF4D6BD"/>
      </right>
      <top/>
      <bottom/>
      <diagonal/>
    </border>
    <border>
      <left style="thin">
        <color rgb="FFF4D6BD"/>
      </left>
      <right style="thin">
        <color rgb="FFF4D6BD"/>
      </right>
      <top style="hair">
        <color rgb="FFFDF1E5"/>
      </top>
      <bottom/>
      <diagonal/>
    </border>
    <border>
      <left style="thin">
        <color rgb="FFF4D6BD"/>
      </left>
      <right style="thin">
        <color rgb="FFF4D6BD"/>
      </right>
      <top style="hair">
        <color rgb="FFFDF1E5"/>
      </top>
      <bottom style="hair">
        <color rgb="FFFDF1E5"/>
      </bottom>
      <diagonal/>
    </border>
    <border>
      <left style="thin">
        <color rgb="FFF4D6BD"/>
      </left>
      <right style="thin">
        <color rgb="FFF4D6BD"/>
      </right>
      <top/>
      <bottom style="thin">
        <color rgb="FFF4D6BD"/>
      </bottom>
      <diagonal/>
    </border>
    <border>
      <left style="medium">
        <color rgb="FFD97706"/>
      </left>
      <right style="thin">
        <color rgb="FFF4D6BD"/>
      </right>
      <top style="medium">
        <color rgb="FFD97706"/>
      </top>
      <bottom/>
      <diagonal/>
    </border>
    <border>
      <left style="thin">
        <color rgb="FFF4D6BD"/>
      </left>
      <right/>
      <top style="medium">
        <color rgb="FFD97706"/>
      </top>
      <bottom/>
      <diagonal/>
    </border>
    <border>
      <left/>
      <right style="thin">
        <color rgb="FFF4D6BD"/>
      </right>
      <top style="medium">
        <color rgb="FFD97706"/>
      </top>
      <bottom/>
      <diagonal/>
    </border>
    <border>
      <left style="medium">
        <color rgb="FFC2410C"/>
      </left>
      <right style="medium">
        <color rgb="FFC2410C"/>
      </right>
      <top/>
      <bottom/>
      <diagonal/>
    </border>
    <border>
      <left style="medium">
        <color rgb="FFC2410C"/>
      </left>
      <right style="medium">
        <color rgb="FFC2410C"/>
      </right>
      <top style="medium">
        <color rgb="FFD97706"/>
      </top>
      <bottom/>
      <diagonal/>
    </border>
  </borders>
  <cellStyleXfs count="1">
    <xf numFmtId="0" fontId="0" fillId="0" borderId="0"/>
  </cellStyleXfs>
  <cellXfs count="196">
    <xf numFmtId="0" fontId="0" fillId="0" borderId="0" xfId="0"/>
    <xf numFmtId="0" fontId="0" fillId="3" borderId="0" xfId="0" applyFill="1"/>
    <xf numFmtId="0" fontId="0" fillId="2" borderId="0" xfId="0" applyFill="1"/>
    <xf numFmtId="0" fontId="11" fillId="2" borderId="0" xfId="0" applyFont="1" applyFill="1" applyAlignment="1">
      <alignment horizontal="center" vertical="center"/>
    </xf>
    <xf numFmtId="0" fontId="1" fillId="4" borderId="0" xfId="0" applyFont="1" applyFill="1" applyAlignment="1">
      <alignment horizontal="center" vertical="center"/>
    </xf>
    <xf numFmtId="0" fontId="1" fillId="4" borderId="0" xfId="0" applyFont="1" applyFill="1"/>
    <xf numFmtId="0" fontId="0" fillId="4" borderId="0" xfId="0" applyFill="1"/>
    <xf numFmtId="0" fontId="4" fillId="4" borderId="0" xfId="0" applyFont="1" applyFill="1"/>
    <xf numFmtId="0" fontId="5" fillId="4" borderId="0" xfId="0" applyFont="1" applyFill="1" applyAlignment="1">
      <alignment vertical="center"/>
    </xf>
    <xf numFmtId="0" fontId="6" fillId="4" borderId="0" xfId="0" applyFont="1" applyFill="1" applyAlignment="1">
      <alignment vertical="center"/>
    </xf>
    <xf numFmtId="0" fontId="7" fillId="4" borderId="0" xfId="0" applyFont="1" applyFill="1" applyAlignment="1">
      <alignment horizontal="left" vertical="center"/>
    </xf>
    <xf numFmtId="0" fontId="4" fillId="5" borderId="0" xfId="0" applyFont="1" applyFill="1"/>
    <xf numFmtId="0" fontId="16" fillId="4" borderId="0" xfId="0" applyFont="1" applyFill="1" applyAlignment="1">
      <alignment vertical="center" indent="2"/>
    </xf>
    <xf numFmtId="0" fontId="8" fillId="2" borderId="2" xfId="0" applyFont="1" applyFill="1" applyBorder="1" applyAlignment="1">
      <alignment vertical="center" indent="1"/>
    </xf>
    <xf numFmtId="0" fontId="10" fillId="2" borderId="3" xfId="0" applyFont="1" applyFill="1" applyBorder="1" applyAlignment="1">
      <alignment horizontal="right" vertical="center" indent="1"/>
    </xf>
    <xf numFmtId="0" fontId="9" fillId="2" borderId="6" xfId="0" applyFont="1" applyFill="1" applyBorder="1"/>
    <xf numFmtId="0" fontId="11" fillId="2" borderId="7" xfId="0" applyFont="1" applyFill="1" applyBorder="1" applyAlignment="1">
      <alignment horizontal="center" vertical="center"/>
    </xf>
    <xf numFmtId="0" fontId="12" fillId="2" borderId="7" xfId="0" applyFont="1" applyFill="1" applyBorder="1" applyAlignment="1">
      <alignment horizontal="center" vertical="center"/>
    </xf>
    <xf numFmtId="0" fontId="12" fillId="2" borderId="8" xfId="0" applyFont="1" applyFill="1" applyBorder="1" applyAlignment="1">
      <alignment horizontal="center" vertical="center"/>
    </xf>
    <xf numFmtId="0" fontId="12" fillId="2" borderId="9" xfId="0" applyFont="1" applyFill="1" applyBorder="1" applyAlignment="1">
      <alignment horizontal="center" vertical="center"/>
    </xf>
    <xf numFmtId="0" fontId="8" fillId="2" borderId="12" xfId="0" applyFont="1" applyFill="1" applyBorder="1" applyAlignment="1">
      <alignment vertical="center"/>
    </xf>
    <xf numFmtId="0" fontId="11" fillId="2" borderId="13" xfId="0" applyFont="1" applyFill="1" applyBorder="1" applyAlignment="1">
      <alignment horizontal="left" vertical="center" indent="1"/>
    </xf>
    <xf numFmtId="0" fontId="17" fillId="2" borderId="14" xfId="0" applyFont="1" applyFill="1" applyBorder="1" applyAlignment="1">
      <alignment horizontal="left" vertical="center" indent="1"/>
    </xf>
    <xf numFmtId="0" fontId="17" fillId="2" borderId="15" xfId="0" applyFont="1" applyFill="1" applyBorder="1" applyAlignment="1">
      <alignment horizontal="left" vertical="center" indent="1"/>
    </xf>
    <xf numFmtId="0" fontId="0" fillId="2" borderId="18" xfId="0" applyFill="1" applyBorder="1"/>
    <xf numFmtId="0" fontId="14" fillId="2" borderId="19" xfId="0" applyFont="1" applyFill="1" applyBorder="1" applyAlignment="1">
      <alignment vertical="center" indent="1"/>
    </xf>
    <xf numFmtId="0" fontId="17" fillId="2" borderId="20" xfId="0" applyFont="1" applyFill="1" applyBorder="1" applyAlignment="1">
      <alignment vertical="center" indent="1"/>
    </xf>
    <xf numFmtId="0" fontId="17" fillId="2" borderId="21" xfId="0" applyFont="1" applyFill="1" applyBorder="1" applyAlignment="1">
      <alignment vertical="center" indent="1"/>
    </xf>
    <xf numFmtId="0" fontId="13" fillId="2" borderId="22" xfId="0" applyFont="1" applyFill="1" applyBorder="1" applyAlignment="1">
      <alignment vertical="center" indent="1"/>
    </xf>
    <xf numFmtId="0" fontId="17" fillId="2" borderId="19" xfId="0" applyFont="1" applyFill="1" applyBorder="1" applyAlignment="1">
      <alignment vertical="center" indent="1"/>
    </xf>
    <xf numFmtId="0" fontId="12" fillId="2" borderId="10" xfId="0" applyFont="1" applyFill="1" applyBorder="1" applyAlignment="1">
      <alignment horizontal="center" vertical="center"/>
    </xf>
    <xf numFmtId="0" fontId="17" fillId="2" borderId="16" xfId="0" applyFont="1" applyFill="1" applyBorder="1" applyAlignment="1">
      <alignment horizontal="left" vertical="center" indent="1"/>
    </xf>
    <xf numFmtId="0" fontId="18" fillId="4" borderId="0" xfId="0" applyFont="1" applyFill="1" applyAlignment="1">
      <alignment horizontal="left" vertical="center"/>
    </xf>
    <xf numFmtId="0" fontId="18" fillId="5" borderId="0" xfId="0" applyFont="1" applyFill="1" applyAlignment="1">
      <alignment vertical="center" indent="2"/>
    </xf>
    <xf numFmtId="0" fontId="18" fillId="5" borderId="0" xfId="0" applyFont="1" applyFill="1" applyAlignment="1">
      <alignment horizontal="left" vertical="center"/>
    </xf>
    <xf numFmtId="0" fontId="19" fillId="2" borderId="5" xfId="0" applyFont="1" applyFill="1" applyBorder="1" applyAlignment="1">
      <alignment horizontal="left" vertical="center" indent="1"/>
    </xf>
    <xf numFmtId="0" fontId="19" fillId="2" borderId="17" xfId="0" applyFont="1" applyFill="1" applyBorder="1" applyAlignment="1">
      <alignment horizontal="left" vertical="center" indent="1"/>
    </xf>
    <xf numFmtId="0" fontId="19" fillId="2" borderId="17" xfId="0" applyFont="1" applyFill="1" applyBorder="1" applyAlignment="1">
      <alignment vertical="center" indent="1"/>
    </xf>
    <xf numFmtId="0" fontId="20" fillId="6" borderId="11" xfId="0" applyFont="1" applyFill="1" applyBorder="1" applyAlignment="1">
      <alignment horizontal="center" vertical="center"/>
    </xf>
    <xf numFmtId="0" fontId="21" fillId="2" borderId="0" xfId="0" applyFont="1" applyFill="1" applyAlignment="1">
      <alignment horizontal="center" vertical="center"/>
    </xf>
    <xf numFmtId="0" fontId="21" fillId="2" borderId="1" xfId="0" applyFont="1" applyFill="1" applyBorder="1" applyAlignment="1">
      <alignment horizontal="center" vertical="center"/>
    </xf>
    <xf numFmtId="0" fontId="0" fillId="0" borderId="0" xfId="0" applyAlignment="1">
      <alignment vertical="center"/>
    </xf>
    <xf numFmtId="0" fontId="2" fillId="5" borderId="13" xfId="0" applyFont="1" applyFill="1" applyBorder="1" applyAlignment="1">
      <alignment horizontal="center" vertical="center"/>
    </xf>
    <xf numFmtId="0" fontId="2" fillId="5" borderId="19" xfId="0" applyFont="1" applyFill="1" applyBorder="1" applyAlignment="1">
      <alignment horizontal="center" vertical="center"/>
    </xf>
    <xf numFmtId="0" fontId="2" fillId="5" borderId="7" xfId="0" applyFont="1" applyFill="1" applyBorder="1" applyAlignment="1">
      <alignment horizontal="center" vertical="center"/>
    </xf>
    <xf numFmtId="0" fontId="2" fillId="5" borderId="26" xfId="0" applyFont="1" applyFill="1" applyBorder="1" applyAlignment="1">
      <alignment horizontal="center" vertical="center"/>
    </xf>
    <xf numFmtId="0" fontId="3" fillId="4" borderId="0" xfId="0" applyFont="1" applyFill="1"/>
    <xf numFmtId="0" fontId="3" fillId="2" borderId="3" xfId="0" applyFont="1" applyFill="1" applyBorder="1"/>
    <xf numFmtId="0" fontId="3" fillId="2" borderId="5" xfId="0" applyFont="1" applyFill="1" applyBorder="1"/>
    <xf numFmtId="0" fontId="3" fillId="2" borderId="11" xfId="0" applyFont="1" applyFill="1" applyBorder="1"/>
    <xf numFmtId="0" fontId="0" fillId="2" borderId="4" xfId="0" applyFill="1" applyBorder="1"/>
    <xf numFmtId="0" fontId="0" fillId="2" borderId="13" xfId="0" applyFill="1" applyBorder="1"/>
    <xf numFmtId="0" fontId="0" fillId="2" borderId="16" xfId="0" applyFill="1" applyBorder="1"/>
    <xf numFmtId="0" fontId="37" fillId="2" borderId="0" xfId="0" applyFont="1" applyFill="1" applyAlignment="1">
      <alignment horizontal="center"/>
    </xf>
    <xf numFmtId="0" fontId="37" fillId="9" borderId="0" xfId="0" applyFont="1" applyFill="1" applyAlignment="1">
      <alignment horizontal="center"/>
    </xf>
    <xf numFmtId="0" fontId="37" fillId="9" borderId="4" xfId="0" applyFont="1" applyFill="1" applyBorder="1" applyAlignment="1">
      <alignment horizontal="center"/>
    </xf>
    <xf numFmtId="0" fontId="34" fillId="2" borderId="7" xfId="0" applyFont="1" applyFill="1" applyBorder="1"/>
    <xf numFmtId="0" fontId="0" fillId="2" borderId="10" xfId="0" applyFill="1" applyBorder="1"/>
    <xf numFmtId="0" fontId="29" fillId="2" borderId="7" xfId="0" applyFont="1" applyFill="1" applyBorder="1"/>
    <xf numFmtId="0" fontId="23" fillId="2" borderId="0" xfId="0" applyFont="1" applyFill="1" applyAlignment="1">
      <alignment horizontal="right"/>
    </xf>
    <xf numFmtId="0" fontId="0" fillId="9" borderId="0" xfId="0" applyFill="1"/>
    <xf numFmtId="0" fontId="29" fillId="9" borderId="7" xfId="0" applyFont="1" applyFill="1" applyBorder="1"/>
    <xf numFmtId="0" fontId="23" fillId="9" borderId="0" xfId="0" applyFont="1" applyFill="1" applyAlignment="1">
      <alignment horizontal="right"/>
    </xf>
    <xf numFmtId="0" fontId="23" fillId="2" borderId="13" xfId="0" applyFont="1" applyFill="1" applyBorder="1" applyAlignment="1">
      <alignment horizontal="right"/>
    </xf>
    <xf numFmtId="0" fontId="3" fillId="4" borderId="3" xfId="0" applyFont="1" applyFill="1" applyBorder="1"/>
    <xf numFmtId="0" fontId="23" fillId="9" borderId="13" xfId="0" applyFont="1" applyFill="1" applyBorder="1" applyAlignment="1">
      <alignment horizontal="right"/>
    </xf>
    <xf numFmtId="0" fontId="30" fillId="9" borderId="0" xfId="0" applyFont="1" applyFill="1" applyAlignment="1">
      <alignment horizontal="left" vertical="center"/>
    </xf>
    <xf numFmtId="0" fontId="30" fillId="2" borderId="0" xfId="0" applyFont="1" applyFill="1" applyAlignment="1">
      <alignment horizontal="left" vertical="center"/>
    </xf>
    <xf numFmtId="0" fontId="30" fillId="9" borderId="4" xfId="0" applyFont="1" applyFill="1" applyBorder="1" applyAlignment="1">
      <alignment horizontal="left" vertical="center"/>
    </xf>
    <xf numFmtId="0" fontId="30" fillId="2" borderId="0" xfId="0" applyFont="1" applyFill="1"/>
    <xf numFmtId="0" fontId="30" fillId="9" borderId="0" xfId="0" applyFont="1" applyFill="1"/>
    <xf numFmtId="0" fontId="30" fillId="2" borderId="4" xfId="0" applyFont="1" applyFill="1" applyBorder="1"/>
    <xf numFmtId="0" fontId="40" fillId="11" borderId="7" xfId="0" applyFont="1" applyFill="1" applyBorder="1" applyAlignment="1">
      <alignment horizontal="center" vertical="center"/>
    </xf>
    <xf numFmtId="0" fontId="2" fillId="5" borderId="17" xfId="0" applyFont="1" applyFill="1" applyBorder="1" applyAlignment="1">
      <alignment horizontal="center" vertical="center"/>
    </xf>
    <xf numFmtId="0" fontId="22" fillId="2" borderId="19" xfId="0" applyFont="1" applyFill="1" applyBorder="1" applyAlignment="1">
      <alignment horizontal="left" vertical="center"/>
    </xf>
    <xf numFmtId="0" fontId="24" fillId="2" borderId="19" xfId="0" applyFont="1" applyFill="1" applyBorder="1" applyAlignment="1">
      <alignment horizontal="center" vertical="center"/>
    </xf>
    <xf numFmtId="0" fontId="22" fillId="2" borderId="19" xfId="0" applyFont="1" applyFill="1" applyBorder="1" applyAlignment="1">
      <alignment horizontal="center" vertical="center"/>
    </xf>
    <xf numFmtId="0" fontId="22" fillId="2" borderId="22" xfId="0" applyFont="1" applyFill="1" applyBorder="1" applyAlignment="1">
      <alignment horizontal="left" vertical="center"/>
    </xf>
    <xf numFmtId="0" fontId="0" fillId="0" borderId="0" xfId="0" applyAlignment="1">
      <alignment horizontal="center" vertical="center"/>
    </xf>
    <xf numFmtId="0" fontId="0" fillId="2" borderId="19" xfId="0" applyFill="1" applyBorder="1"/>
    <xf numFmtId="0" fontId="45" fillId="2" borderId="17" xfId="0" applyFont="1" applyFill="1" applyBorder="1" applyAlignment="1">
      <alignment wrapText="1"/>
    </xf>
    <xf numFmtId="0" fontId="17" fillId="2" borderId="19" xfId="0" applyFont="1" applyFill="1" applyBorder="1" applyAlignment="1">
      <alignment wrapText="1"/>
    </xf>
    <xf numFmtId="0" fontId="46" fillId="2" borderId="22" xfId="0" applyFont="1" applyFill="1" applyBorder="1" applyAlignment="1">
      <alignment wrapText="1"/>
    </xf>
    <xf numFmtId="0" fontId="17" fillId="2" borderId="19" xfId="0" applyFont="1" applyFill="1" applyBorder="1" applyAlignment="1">
      <alignment vertical="center" wrapText="1" indent="1"/>
    </xf>
    <xf numFmtId="0" fontId="24" fillId="2" borderId="19" xfId="0" applyFont="1" applyFill="1" applyBorder="1" applyAlignment="1">
      <alignment wrapText="1"/>
    </xf>
    <xf numFmtId="0" fontId="47" fillId="8" borderId="23" xfId="0" applyFont="1" applyFill="1" applyBorder="1" applyAlignment="1">
      <alignment horizontal="center" vertical="center"/>
    </xf>
    <xf numFmtId="0" fontId="48" fillId="8" borderId="27" xfId="0" applyFont="1" applyFill="1" applyBorder="1" applyAlignment="1">
      <alignment horizontal="center" vertical="center"/>
    </xf>
    <xf numFmtId="0" fontId="25" fillId="8" borderId="25" xfId="0" applyFont="1" applyFill="1" applyBorder="1" applyAlignment="1">
      <alignment horizontal="center" vertical="center"/>
    </xf>
    <xf numFmtId="0" fontId="50" fillId="13" borderId="25" xfId="0" applyFont="1" applyFill="1" applyBorder="1" applyAlignment="1">
      <alignment horizontal="center" vertical="center"/>
    </xf>
    <xf numFmtId="0" fontId="49" fillId="13" borderId="23" xfId="0" applyFont="1" applyFill="1" applyBorder="1" applyAlignment="1">
      <alignment horizontal="center" vertical="center"/>
    </xf>
    <xf numFmtId="0" fontId="51" fillId="13" borderId="27" xfId="0" applyFont="1" applyFill="1" applyBorder="1" applyAlignment="1">
      <alignment horizontal="center" vertical="center"/>
    </xf>
    <xf numFmtId="0" fontId="27" fillId="10" borderId="25" xfId="0" applyFont="1" applyFill="1" applyBorder="1" applyAlignment="1">
      <alignment horizontal="center" vertical="center"/>
    </xf>
    <xf numFmtId="0" fontId="52" fillId="10" borderId="23" xfId="0" applyFont="1" applyFill="1" applyBorder="1" applyAlignment="1">
      <alignment horizontal="center" vertical="center"/>
    </xf>
    <xf numFmtId="0" fontId="26" fillId="10" borderId="27" xfId="0" applyFont="1" applyFill="1" applyBorder="1" applyAlignment="1">
      <alignment horizontal="center" vertical="center"/>
    </xf>
    <xf numFmtId="0" fontId="24" fillId="2" borderId="27" xfId="0" applyFont="1" applyFill="1" applyBorder="1" applyAlignment="1">
      <alignment horizontal="center" vertical="center"/>
    </xf>
    <xf numFmtId="0" fontId="24" fillId="2" borderId="25" xfId="0" applyFont="1" applyFill="1" applyBorder="1" applyAlignment="1">
      <alignment horizontal="center" vertical="center"/>
    </xf>
    <xf numFmtId="0" fontId="24" fillId="4" borderId="27" xfId="0" applyFont="1" applyFill="1" applyBorder="1" applyAlignment="1">
      <alignment horizontal="center" vertical="center"/>
    </xf>
    <xf numFmtId="0" fontId="24" fillId="4" borderId="25" xfId="0" applyFont="1" applyFill="1" applyBorder="1" applyAlignment="1">
      <alignment horizontal="center" vertical="center"/>
    </xf>
    <xf numFmtId="0" fontId="53" fillId="4" borderId="23" xfId="0" applyFont="1" applyFill="1" applyBorder="1" applyAlignment="1">
      <alignment horizontal="center" vertical="center"/>
    </xf>
    <xf numFmtId="0" fontId="53" fillId="2" borderId="23" xfId="0" applyFont="1" applyFill="1" applyBorder="1" applyAlignment="1">
      <alignment horizontal="center" vertical="center"/>
    </xf>
    <xf numFmtId="0" fontId="2" fillId="5" borderId="7" xfId="0" applyFont="1" applyFill="1" applyBorder="1" applyAlignment="1">
      <alignment horizontal="center" vertical="center" wrapText="1"/>
    </xf>
    <xf numFmtId="0" fontId="22" fillId="4" borderId="24" xfId="0" applyFont="1" applyFill="1" applyBorder="1" applyAlignment="1">
      <alignment horizontal="left" vertical="center" wrapText="1"/>
    </xf>
    <xf numFmtId="0" fontId="22" fillId="2" borderId="24" xfId="0" applyFont="1" applyFill="1" applyBorder="1" applyAlignment="1">
      <alignment horizontal="left" vertical="center" wrapText="1"/>
    </xf>
    <xf numFmtId="0" fontId="0" fillId="0" borderId="0" xfId="0" applyAlignment="1">
      <alignment vertical="center" wrapText="1"/>
    </xf>
    <xf numFmtId="0" fontId="26" fillId="10" borderId="24" xfId="0" applyFont="1" applyFill="1" applyBorder="1" applyAlignment="1">
      <alignment horizontal="left" vertical="center" wrapText="1"/>
    </xf>
    <xf numFmtId="0" fontId="51" fillId="13" borderId="24" xfId="0" applyFont="1" applyFill="1" applyBorder="1" applyAlignment="1">
      <alignment horizontal="left" vertical="center" wrapText="1"/>
    </xf>
    <xf numFmtId="0" fontId="28" fillId="8" borderId="24" xfId="0" applyFont="1" applyFill="1" applyBorder="1" applyAlignment="1">
      <alignment horizontal="left" vertical="center" wrapText="1"/>
    </xf>
    <xf numFmtId="0" fontId="24" fillId="2" borderId="20" xfId="0" applyFont="1" applyFill="1" applyBorder="1" applyAlignment="1">
      <alignment horizontal="left" vertical="center" indent="1"/>
    </xf>
    <xf numFmtId="0" fontId="54" fillId="9" borderId="0" xfId="0" applyFont="1" applyFill="1" applyAlignment="1">
      <alignment horizontal="center"/>
    </xf>
    <xf numFmtId="0" fontId="55" fillId="9" borderId="0" xfId="0" applyFont="1" applyFill="1" applyAlignment="1">
      <alignment horizontal="center"/>
    </xf>
    <xf numFmtId="0" fontId="54" fillId="2" borderId="0" xfId="0" applyFont="1" applyFill="1" applyAlignment="1">
      <alignment horizontal="center"/>
    </xf>
    <xf numFmtId="0" fontId="55" fillId="2" borderId="0" xfId="0" applyFont="1" applyFill="1" applyAlignment="1">
      <alignment horizontal="center"/>
    </xf>
    <xf numFmtId="0" fontId="55" fillId="9" borderId="4" xfId="0" applyFont="1" applyFill="1" applyBorder="1" applyAlignment="1">
      <alignment horizontal="center"/>
    </xf>
    <xf numFmtId="0" fontId="37" fillId="2" borderId="4" xfId="0" applyFont="1" applyFill="1" applyBorder="1" applyAlignment="1">
      <alignment horizontal="center"/>
    </xf>
    <xf numFmtId="0" fontId="54" fillId="2" borderId="4" xfId="0" applyFont="1" applyFill="1" applyBorder="1" applyAlignment="1">
      <alignment horizontal="center"/>
    </xf>
    <xf numFmtId="0" fontId="55" fillId="2" borderId="4" xfId="0" applyFont="1" applyFill="1" applyBorder="1" applyAlignment="1">
      <alignment horizontal="center"/>
    </xf>
    <xf numFmtId="0" fontId="31" fillId="9" borderId="13" xfId="0" applyFont="1" applyFill="1" applyBorder="1" applyAlignment="1">
      <alignment horizontal="center"/>
    </xf>
    <xf numFmtId="0" fontId="56" fillId="5" borderId="7" xfId="0" applyFont="1" applyFill="1" applyBorder="1" applyAlignment="1">
      <alignment horizontal="center"/>
    </xf>
    <xf numFmtId="0" fontId="56" fillId="5" borderId="0" xfId="0" applyFont="1" applyFill="1" applyAlignment="1">
      <alignment horizontal="center"/>
    </xf>
    <xf numFmtId="0" fontId="57" fillId="5" borderId="13" xfId="0" applyFont="1" applyFill="1" applyBorder="1" applyAlignment="1">
      <alignment horizontal="center"/>
    </xf>
    <xf numFmtId="0" fontId="58" fillId="6" borderId="7" xfId="0" applyFont="1" applyFill="1" applyBorder="1" applyAlignment="1">
      <alignment horizontal="center"/>
    </xf>
    <xf numFmtId="0" fontId="58" fillId="6" borderId="10" xfId="0" applyFont="1" applyFill="1" applyBorder="1" applyAlignment="1">
      <alignment horizontal="center"/>
    </xf>
    <xf numFmtId="0" fontId="23" fillId="2" borderId="19" xfId="0" applyFont="1" applyFill="1" applyBorder="1" applyAlignment="1">
      <alignment horizontal="center" vertical="center"/>
    </xf>
    <xf numFmtId="0" fontId="22" fillId="2" borderId="22" xfId="0" applyFont="1" applyFill="1" applyBorder="1" applyAlignment="1">
      <alignment horizontal="center" vertical="center"/>
    </xf>
    <xf numFmtId="0" fontId="24" fillId="2" borderId="22" xfId="0" applyFont="1" applyFill="1" applyBorder="1" applyAlignment="1">
      <alignment horizontal="center" vertical="center"/>
    </xf>
    <xf numFmtId="0" fontId="22" fillId="4" borderId="19" xfId="0" applyFont="1" applyFill="1" applyBorder="1" applyAlignment="1">
      <alignment horizontal="left" vertical="center"/>
    </xf>
    <xf numFmtId="0" fontId="23" fillId="4" borderId="19" xfId="0" applyFont="1" applyFill="1" applyBorder="1" applyAlignment="1">
      <alignment horizontal="center" vertical="center"/>
    </xf>
    <xf numFmtId="0" fontId="24" fillId="4" borderId="19" xfId="0" applyFont="1" applyFill="1" applyBorder="1" applyAlignment="1">
      <alignment horizontal="center" vertical="center"/>
    </xf>
    <xf numFmtId="0" fontId="22" fillId="4" borderId="19" xfId="0" applyFont="1" applyFill="1" applyBorder="1" applyAlignment="1">
      <alignment horizontal="center" vertical="center"/>
    </xf>
    <xf numFmtId="0" fontId="22" fillId="4" borderId="22" xfId="0" applyFont="1" applyFill="1" applyBorder="1" applyAlignment="1">
      <alignment horizontal="left" vertical="center"/>
    </xf>
    <xf numFmtId="0" fontId="36" fillId="5" borderId="0" xfId="0" applyFont="1" applyFill="1" applyAlignment="1">
      <alignment horizontal="left"/>
    </xf>
    <xf numFmtId="0" fontId="24" fillId="2" borderId="19" xfId="0" applyFont="1" applyFill="1" applyBorder="1" applyAlignment="1">
      <alignment horizontal="left" vertical="center" indent="1"/>
    </xf>
    <xf numFmtId="0" fontId="24" fillId="2" borderId="0" xfId="0" applyFont="1" applyFill="1" applyAlignment="1">
      <alignment horizontal="center" vertical="center"/>
    </xf>
    <xf numFmtId="0" fontId="22" fillId="2" borderId="0" xfId="0" applyFont="1" applyFill="1" applyAlignment="1">
      <alignment horizontal="center" vertical="center"/>
    </xf>
    <xf numFmtId="0" fontId="22" fillId="4" borderId="0" xfId="0" applyFont="1" applyFill="1" applyAlignment="1">
      <alignment horizontal="center" vertical="center"/>
    </xf>
    <xf numFmtId="0" fontId="24" fillId="4" borderId="0" xfId="0" applyFont="1" applyFill="1" applyAlignment="1">
      <alignment horizontal="center" vertical="center"/>
    </xf>
    <xf numFmtId="0" fontId="35" fillId="2" borderId="5" xfId="0" applyFont="1" applyFill="1" applyBorder="1" applyAlignment="1">
      <alignment horizontal="left" vertical="center"/>
    </xf>
    <xf numFmtId="0" fontId="3" fillId="2" borderId="3" xfId="0" applyFont="1" applyFill="1" applyBorder="1"/>
    <xf numFmtId="0" fontId="3" fillId="2" borderId="11" xfId="0" applyFont="1" applyFill="1" applyBorder="1"/>
    <xf numFmtId="0" fontId="38" fillId="8" borderId="7" xfId="0" applyFont="1" applyFill="1" applyBorder="1" applyAlignment="1">
      <alignment horizontal="center" vertical="center"/>
    </xf>
    <xf numFmtId="0" fontId="38" fillId="8" borderId="0" xfId="0" applyFont="1" applyFill="1" applyAlignment="1">
      <alignment horizontal="center" vertical="center"/>
    </xf>
    <xf numFmtId="0" fontId="38" fillId="8" borderId="13" xfId="0" applyFont="1" applyFill="1" applyBorder="1" applyAlignment="1">
      <alignment horizontal="center" vertical="center"/>
    </xf>
    <xf numFmtId="0" fontId="38" fillId="4" borderId="0" xfId="0" applyFont="1" applyFill="1" applyAlignment="1">
      <alignment horizontal="center" vertical="center"/>
    </xf>
    <xf numFmtId="0" fontId="40" fillId="11" borderId="7" xfId="0" applyFont="1" applyFill="1" applyBorder="1" applyAlignment="1">
      <alignment horizontal="center" vertical="center"/>
    </xf>
    <xf numFmtId="0" fontId="40" fillId="11" borderId="0" xfId="0" applyFont="1" applyFill="1" applyAlignment="1">
      <alignment horizontal="center" vertical="center"/>
    </xf>
    <xf numFmtId="0" fontId="40" fillId="11" borderId="13" xfId="0" applyFont="1" applyFill="1" applyBorder="1" applyAlignment="1">
      <alignment horizontal="center" vertical="center"/>
    </xf>
    <xf numFmtId="0" fontId="40" fillId="4" borderId="0" xfId="0" applyFont="1" applyFill="1" applyAlignment="1">
      <alignment horizontal="center" vertical="center"/>
    </xf>
    <xf numFmtId="0" fontId="42" fillId="12" borderId="7" xfId="0" applyFont="1" applyFill="1" applyBorder="1" applyAlignment="1">
      <alignment horizontal="center" vertical="center"/>
    </xf>
    <xf numFmtId="0" fontId="42" fillId="12" borderId="0" xfId="0" applyFont="1" applyFill="1" applyAlignment="1">
      <alignment horizontal="center" vertical="center"/>
    </xf>
    <xf numFmtId="0" fontId="42" fillId="12" borderId="13" xfId="0" applyFont="1" applyFill="1" applyBorder="1" applyAlignment="1">
      <alignment horizontal="center" vertical="center"/>
    </xf>
    <xf numFmtId="0" fontId="42" fillId="4" borderId="0" xfId="0" applyFont="1" applyFill="1" applyAlignment="1">
      <alignment horizontal="center" vertical="center"/>
    </xf>
    <xf numFmtId="0" fontId="44" fillId="7" borderId="7" xfId="0" applyFont="1" applyFill="1" applyBorder="1" applyAlignment="1">
      <alignment horizontal="center" vertical="center"/>
    </xf>
    <xf numFmtId="0" fontId="44" fillId="7" borderId="0" xfId="0" applyFont="1" applyFill="1" applyAlignment="1">
      <alignment horizontal="center" vertical="center"/>
    </xf>
    <xf numFmtId="0" fontId="44" fillId="7" borderId="13" xfId="0" applyFont="1" applyFill="1" applyBorder="1" applyAlignment="1">
      <alignment horizontal="center" vertical="center"/>
    </xf>
    <xf numFmtId="0" fontId="41" fillId="12" borderId="7" xfId="0" applyFont="1" applyFill="1" applyBorder="1" applyAlignment="1">
      <alignment horizontal="center" vertical="center"/>
    </xf>
    <xf numFmtId="0" fontId="0" fillId="12" borderId="0" xfId="0" applyFill="1"/>
    <xf numFmtId="0" fontId="0" fillId="12" borderId="13" xfId="0" applyFill="1" applyBorder="1"/>
    <xf numFmtId="0" fontId="0" fillId="4" borderId="0" xfId="0" applyFill="1"/>
    <xf numFmtId="0" fontId="0" fillId="12" borderId="7" xfId="0" applyFill="1" applyBorder="1"/>
    <xf numFmtId="0" fontId="43" fillId="7" borderId="7" xfId="0" applyFont="1" applyFill="1" applyBorder="1" applyAlignment="1">
      <alignment horizontal="center" vertical="center"/>
    </xf>
    <xf numFmtId="0" fontId="0" fillId="7" borderId="0" xfId="0" applyFill="1"/>
    <xf numFmtId="0" fontId="0" fillId="7" borderId="13" xfId="0" applyFill="1" applyBorder="1"/>
    <xf numFmtId="0" fontId="0" fillId="7" borderId="7" xfId="0" applyFill="1" applyBorder="1"/>
    <xf numFmtId="0" fontId="32" fillId="4" borderId="0" xfId="0" applyFont="1" applyFill="1" applyAlignment="1">
      <alignment horizontal="left" vertical="center"/>
    </xf>
    <xf numFmtId="0" fontId="33" fillId="4" borderId="0" xfId="0" applyFont="1" applyFill="1"/>
    <xf numFmtId="0" fontId="31" fillId="8" borderId="7" xfId="0" applyFont="1" applyFill="1" applyBorder="1" applyAlignment="1">
      <alignment horizontal="center" vertical="center"/>
    </xf>
    <xf numFmtId="0" fontId="0" fillId="8" borderId="0" xfId="0" applyFill="1"/>
    <xf numFmtId="0" fontId="0" fillId="8" borderId="13" xfId="0" applyFill="1" applyBorder="1"/>
    <xf numFmtId="0" fontId="0" fillId="8" borderId="7" xfId="0" applyFill="1" applyBorder="1"/>
    <xf numFmtId="0" fontId="39" fillId="11" borderId="7" xfId="0" applyFont="1" applyFill="1" applyBorder="1" applyAlignment="1">
      <alignment horizontal="center" vertical="center"/>
    </xf>
    <xf numFmtId="0" fontId="0" fillId="11" borderId="0" xfId="0" applyFill="1"/>
    <xf numFmtId="0" fontId="0" fillId="11" borderId="13" xfId="0" applyFill="1" applyBorder="1"/>
    <xf numFmtId="0" fontId="0" fillId="11" borderId="7" xfId="0" applyFill="1" applyBorder="1"/>
    <xf numFmtId="0" fontId="38" fillId="8" borderId="10" xfId="0" applyFont="1" applyFill="1" applyBorder="1" applyAlignment="1">
      <alignment horizontal="center" vertical="center"/>
    </xf>
    <xf numFmtId="0" fontId="38" fillId="8" borderId="4" xfId="0" applyFont="1" applyFill="1" applyBorder="1" applyAlignment="1">
      <alignment horizontal="center" vertical="center"/>
    </xf>
    <xf numFmtId="0" fontId="38" fillId="8" borderId="16" xfId="0" applyFont="1" applyFill="1" applyBorder="1" applyAlignment="1">
      <alignment horizontal="center" vertical="center"/>
    </xf>
    <xf numFmtId="0" fontId="40" fillId="11" borderId="4" xfId="0" applyFont="1" applyFill="1" applyBorder="1" applyAlignment="1">
      <alignment horizontal="center" vertical="center"/>
    </xf>
    <xf numFmtId="0" fontId="40" fillId="11" borderId="16" xfId="0" applyFont="1" applyFill="1" applyBorder="1" applyAlignment="1">
      <alignment horizontal="center" vertical="center"/>
    </xf>
    <xf numFmtId="0" fontId="42" fillId="12" borderId="10" xfId="0" applyFont="1" applyFill="1" applyBorder="1" applyAlignment="1">
      <alignment horizontal="center" vertical="center"/>
    </xf>
    <xf numFmtId="0" fontId="42" fillId="12" borderId="4" xfId="0" applyFont="1" applyFill="1" applyBorder="1" applyAlignment="1">
      <alignment horizontal="center" vertical="center"/>
    </xf>
    <xf numFmtId="0" fontId="42" fillId="12" borderId="16" xfId="0" applyFont="1" applyFill="1" applyBorder="1" applyAlignment="1">
      <alignment horizontal="center" vertical="center"/>
    </xf>
    <xf numFmtId="0" fontId="44" fillId="7" borderId="10" xfId="0" applyFont="1" applyFill="1" applyBorder="1" applyAlignment="1">
      <alignment horizontal="center" vertical="center"/>
    </xf>
    <xf numFmtId="0" fontId="44" fillId="7" borderId="4" xfId="0" applyFont="1" applyFill="1" applyBorder="1" applyAlignment="1">
      <alignment horizontal="center" vertical="center"/>
    </xf>
    <xf numFmtId="0" fontId="44" fillId="7" borderId="16" xfId="0" applyFont="1" applyFill="1" applyBorder="1" applyAlignment="1">
      <alignment horizontal="center" vertical="center"/>
    </xf>
    <xf numFmtId="0" fontId="3" fillId="8" borderId="7" xfId="0" applyFont="1" applyFill="1" applyBorder="1" applyAlignment="1">
      <alignment horizontal="center"/>
    </xf>
    <xf numFmtId="0" fontId="3" fillId="8" borderId="0" xfId="0" applyFont="1" applyFill="1" applyAlignment="1">
      <alignment horizontal="center"/>
    </xf>
    <xf numFmtId="0" fontId="3" fillId="8" borderId="13" xfId="0" applyFont="1" applyFill="1" applyBorder="1" applyAlignment="1">
      <alignment horizontal="center"/>
    </xf>
    <xf numFmtId="0" fontId="3" fillId="11" borderId="7" xfId="0" applyFont="1" applyFill="1" applyBorder="1" applyAlignment="1">
      <alignment horizontal="center"/>
    </xf>
    <xf numFmtId="0" fontId="3" fillId="11" borderId="0" xfId="0" applyFont="1" applyFill="1" applyAlignment="1">
      <alignment horizontal="center"/>
    </xf>
    <xf numFmtId="0" fontId="3" fillId="11" borderId="13" xfId="0" applyFont="1" applyFill="1" applyBorder="1" applyAlignment="1">
      <alignment horizontal="center"/>
    </xf>
    <xf numFmtId="0" fontId="3" fillId="12" borderId="7" xfId="0" applyFont="1" applyFill="1" applyBorder="1" applyAlignment="1">
      <alignment horizontal="center"/>
    </xf>
    <xf numFmtId="0" fontId="3" fillId="12" borderId="0" xfId="0" applyFont="1" applyFill="1" applyAlignment="1">
      <alignment horizontal="center"/>
    </xf>
    <xf numFmtId="0" fontId="3" fillId="12" borderId="13" xfId="0" applyFont="1" applyFill="1" applyBorder="1" applyAlignment="1">
      <alignment horizontal="center"/>
    </xf>
    <xf numFmtId="0" fontId="3" fillId="7" borderId="5" xfId="0" applyFont="1" applyFill="1" applyBorder="1" applyAlignment="1">
      <alignment horizontal="center"/>
    </xf>
    <xf numFmtId="0" fontId="3" fillId="7" borderId="3" xfId="0" applyFont="1" applyFill="1" applyBorder="1" applyAlignment="1">
      <alignment horizontal="center"/>
    </xf>
    <xf numFmtId="0" fontId="3" fillId="7" borderId="11" xfId="0" applyFont="1" applyFill="1" applyBorder="1" applyAlignment="1">
      <alignment horizontal="center"/>
    </xf>
  </cellXfs>
  <cellStyles count="1">
    <cellStyle name="Normal" xfId="0" builtinId="0"/>
  </cellStyles>
  <dxfs count="1">
    <dxf>
      <font>
        <b/>
        <i val="0"/>
        <color rgb="FF7F6000"/>
      </font>
      <fill>
        <patternFill patternType="solid">
          <fgColor indexed="64"/>
          <bgColor rgb="FFFFD966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eetMetadata" Target="metadata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700" row="1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630505D9-6F82-4215-858A-896FB7501B18}">
  <we:reference id="WA200009404" version="1.0.0.8" store="Omex" storeType="OMEX"/>
  <we:alternateReferences>
    <we:reference id="WA200009404" version="1.0.0.8" store="WA200009404" storeType="OMEX"/>
  </we:alternateReferences>
  <we:properties>
    <we:property name="claude.fileId" value="&quot;bc6433be-016c-4395-ba50-8ed986e35217&quot;"/>
  </we:properties>
  <we:bindings/>
  <we:snapshot xmlns:r="http://schemas.openxmlformats.org/officeDocument/2006/relationships"/>
</we:webextension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6B86E2-D5EC-499D-92CB-524F95258D5C}">
  <dimension ref="A1:I67"/>
  <sheetViews>
    <sheetView tabSelected="1" topLeftCell="A7" zoomScale="85" zoomScaleNormal="85" workbookViewId="0">
      <selection activeCell="C19" sqref="C19"/>
    </sheetView>
  </sheetViews>
  <sheetFormatPr defaultRowHeight="14.25" x14ac:dyDescent="0.45"/>
  <cols>
    <col min="1" max="1" width="12.46484375" customWidth="1"/>
    <col min="2" max="2" width="16" customWidth="1"/>
    <col min="3" max="3" width="26.1328125" customWidth="1"/>
    <col min="4" max="4" width="2.3984375" style="6" customWidth="1"/>
    <col min="5" max="5" width="1.3984375" style="6" customWidth="1"/>
    <col min="6" max="6" width="35" customWidth="1"/>
    <col min="7" max="7" width="2.6640625" style="6" customWidth="1"/>
    <col min="8" max="8" width="56.86328125" customWidth="1"/>
    <col min="9" max="9" width="4.265625" style="6" customWidth="1"/>
  </cols>
  <sheetData>
    <row r="1" spans="1:9" ht="6.75" customHeight="1" x14ac:dyDescent="0.7">
      <c r="A1" s="4"/>
      <c r="B1" s="5"/>
      <c r="C1" s="5"/>
      <c r="D1" s="5"/>
      <c r="E1" s="5"/>
      <c r="F1" s="5"/>
      <c r="H1" s="6"/>
    </row>
    <row r="2" spans="1:9" ht="40.9" customHeight="1" x14ac:dyDescent="0.45">
      <c r="A2" s="33" t="s">
        <v>9</v>
      </c>
      <c r="B2" s="34"/>
      <c r="C2" s="34"/>
      <c r="D2" s="32"/>
      <c r="E2" s="32"/>
      <c r="F2" s="34"/>
      <c r="G2" s="7"/>
      <c r="H2" s="11"/>
      <c r="I2" s="7"/>
    </row>
    <row r="3" spans="1:9" ht="18" customHeight="1" x14ac:dyDescent="0.45">
      <c r="A3" s="12" t="s">
        <v>10</v>
      </c>
      <c r="B3" s="8"/>
      <c r="C3" s="8"/>
      <c r="D3" s="9"/>
      <c r="E3" s="9"/>
      <c r="F3" s="9"/>
      <c r="H3" s="6"/>
    </row>
    <row r="4" spans="1:9" ht="40.049999999999997" customHeight="1" x14ac:dyDescent="0.45">
      <c r="A4" s="35" t="s">
        <v>11</v>
      </c>
      <c r="B4" s="14" t="s">
        <v>12</v>
      </c>
      <c r="C4" s="38">
        <v>12</v>
      </c>
      <c r="D4" s="10"/>
      <c r="F4" s="36" t="s">
        <v>4</v>
      </c>
      <c r="H4" s="37" t="s">
        <v>16</v>
      </c>
    </row>
    <row r="5" spans="1:9" ht="12" customHeight="1" x14ac:dyDescent="0.45">
      <c r="A5" s="15"/>
      <c r="B5" s="13"/>
      <c r="C5" s="20"/>
      <c r="F5" s="24"/>
      <c r="H5" s="24"/>
    </row>
    <row r="6" spans="1:9" ht="24" customHeight="1" x14ac:dyDescent="0.45">
      <c r="A6" s="16" t="s">
        <v>7</v>
      </c>
      <c r="B6" s="3" t="s">
        <v>13</v>
      </c>
      <c r="C6" s="21" t="s">
        <v>14</v>
      </c>
      <c r="F6" s="25" t="s">
        <v>15</v>
      </c>
      <c r="H6" s="29" t="s">
        <v>17</v>
      </c>
    </row>
    <row r="7" spans="1:9" ht="30" customHeight="1" x14ac:dyDescent="0.45">
      <c r="A7" s="17">
        <f t="shared" ref="A7:A36" si="0">IF(ROW()-6&lt;=$C$4,ROW()-6,"")</f>
        <v>1</v>
      </c>
      <c r="B7" s="39">
        <v>10</v>
      </c>
      <c r="C7" s="22" t="s">
        <v>83</v>
      </c>
      <c r="F7" s="131" t="s">
        <v>55</v>
      </c>
      <c r="H7" s="29" t="s">
        <v>18</v>
      </c>
    </row>
    <row r="8" spans="1:9" ht="30" customHeight="1" x14ac:dyDescent="0.45">
      <c r="A8" s="18">
        <f t="shared" si="0"/>
        <v>2</v>
      </c>
      <c r="B8" s="40">
        <v>10</v>
      </c>
      <c r="C8" s="22" t="s">
        <v>84</v>
      </c>
      <c r="F8" s="107" t="s">
        <v>56</v>
      </c>
      <c r="H8" s="29" t="s">
        <v>19</v>
      </c>
    </row>
    <row r="9" spans="1:9" ht="30" customHeight="1" x14ac:dyDescent="0.45">
      <c r="A9" s="18">
        <f t="shared" si="0"/>
        <v>3</v>
      </c>
      <c r="B9" s="40">
        <v>10</v>
      </c>
      <c r="C9" s="22" t="s">
        <v>85</v>
      </c>
      <c r="F9" s="131" t="s">
        <v>57</v>
      </c>
      <c r="H9" s="29" t="s">
        <v>20</v>
      </c>
    </row>
    <row r="10" spans="1:9" ht="30" customHeight="1" x14ac:dyDescent="0.45">
      <c r="A10" s="18">
        <f t="shared" si="0"/>
        <v>4</v>
      </c>
      <c r="B10" s="40">
        <v>20</v>
      </c>
      <c r="C10" s="22" t="s">
        <v>80</v>
      </c>
      <c r="F10" s="107" t="s">
        <v>58</v>
      </c>
      <c r="H10" s="83" t="s">
        <v>21</v>
      </c>
    </row>
    <row r="11" spans="1:9" ht="30" customHeight="1" x14ac:dyDescent="0.45">
      <c r="A11" s="18">
        <f t="shared" si="0"/>
        <v>5</v>
      </c>
      <c r="B11" s="40">
        <v>10</v>
      </c>
      <c r="C11" s="22" t="s">
        <v>86</v>
      </c>
      <c r="F11" s="131" t="s">
        <v>59</v>
      </c>
      <c r="H11" s="79"/>
    </row>
    <row r="12" spans="1:9" ht="32" customHeight="1" x14ac:dyDescent="0.55000000000000004">
      <c r="A12" s="18">
        <f t="shared" si="0"/>
        <v>6</v>
      </c>
      <c r="B12" s="40">
        <v>10</v>
      </c>
      <c r="C12" s="22" t="s">
        <v>87</v>
      </c>
      <c r="F12" s="107" t="s">
        <v>60</v>
      </c>
      <c r="H12" s="80" t="s">
        <v>22</v>
      </c>
    </row>
    <row r="13" spans="1:9" ht="32" customHeight="1" x14ac:dyDescent="0.45">
      <c r="A13" s="18">
        <f t="shared" si="0"/>
        <v>7</v>
      </c>
      <c r="B13" s="40">
        <v>10</v>
      </c>
      <c r="C13" s="22" t="s">
        <v>88</v>
      </c>
      <c r="F13" s="131" t="s">
        <v>61</v>
      </c>
      <c r="H13" s="81" t="s">
        <v>23</v>
      </c>
    </row>
    <row r="14" spans="1:9" ht="32" customHeight="1" x14ac:dyDescent="0.45">
      <c r="A14" s="18">
        <f t="shared" si="0"/>
        <v>8</v>
      </c>
      <c r="B14" s="40">
        <v>15</v>
      </c>
      <c r="C14" s="22" t="s">
        <v>81</v>
      </c>
      <c r="F14" s="107" t="s">
        <v>62</v>
      </c>
      <c r="H14" s="84" t="s">
        <v>24</v>
      </c>
    </row>
    <row r="15" spans="1:9" ht="32" customHeight="1" x14ac:dyDescent="0.45">
      <c r="A15" s="18">
        <f t="shared" si="0"/>
        <v>9</v>
      </c>
      <c r="B15" s="40">
        <v>10</v>
      </c>
      <c r="C15" s="22" t="s">
        <v>89</v>
      </c>
      <c r="F15" s="131" t="s">
        <v>63</v>
      </c>
      <c r="H15" s="81" t="s">
        <v>25</v>
      </c>
    </row>
    <row r="16" spans="1:9" ht="32" customHeight="1" x14ac:dyDescent="0.45">
      <c r="A16" s="18">
        <f t="shared" si="0"/>
        <v>10</v>
      </c>
      <c r="B16" s="40">
        <v>10</v>
      </c>
      <c r="C16" s="22" t="s">
        <v>90</v>
      </c>
      <c r="F16" s="107" t="s">
        <v>64</v>
      </c>
      <c r="H16" s="82" t="s">
        <v>26</v>
      </c>
    </row>
    <row r="17" spans="1:8" ht="30" customHeight="1" x14ac:dyDescent="0.45">
      <c r="A17" s="18">
        <f t="shared" si="0"/>
        <v>11</v>
      </c>
      <c r="B17" s="40">
        <v>5</v>
      </c>
      <c r="C17" s="22" t="s">
        <v>82</v>
      </c>
      <c r="F17" s="131" t="s">
        <v>65</v>
      </c>
      <c r="H17" s="6"/>
    </row>
    <row r="18" spans="1:8" ht="30" customHeight="1" x14ac:dyDescent="0.45">
      <c r="A18" s="18">
        <f t="shared" si="0"/>
        <v>12</v>
      </c>
      <c r="B18" s="40">
        <v>10</v>
      </c>
      <c r="C18" s="22" t="s">
        <v>91</v>
      </c>
      <c r="F18" s="107" t="s">
        <v>66</v>
      </c>
      <c r="H18" s="6"/>
    </row>
    <row r="19" spans="1:8" ht="30" customHeight="1" x14ac:dyDescent="0.45">
      <c r="A19" s="18" t="str">
        <f t="shared" si="0"/>
        <v/>
      </c>
      <c r="B19" s="40"/>
      <c r="C19" s="22" t="str">
        <f>IF(A19="","","Ronde "&amp;A19)</f>
        <v/>
      </c>
      <c r="F19" s="131" t="s">
        <v>67</v>
      </c>
      <c r="H19" s="6"/>
    </row>
    <row r="20" spans="1:8" ht="30" customHeight="1" x14ac:dyDescent="0.45">
      <c r="A20" s="18" t="str">
        <f t="shared" si="0"/>
        <v/>
      </c>
      <c r="B20" s="40"/>
      <c r="C20" s="22" t="str">
        <f>IF(A20="","","Ronde "&amp;A20)</f>
        <v/>
      </c>
      <c r="F20" s="107" t="s">
        <v>68</v>
      </c>
      <c r="H20" s="6"/>
    </row>
    <row r="21" spans="1:8" ht="30" customHeight="1" x14ac:dyDescent="0.45">
      <c r="A21" s="18" t="str">
        <f t="shared" si="0"/>
        <v/>
      </c>
      <c r="B21" s="39"/>
      <c r="C21" s="22" t="str">
        <f>IF(A21="","","Ronde "&amp;A21)</f>
        <v/>
      </c>
      <c r="F21" s="131" t="s">
        <v>69</v>
      </c>
      <c r="H21" s="6"/>
    </row>
    <row r="22" spans="1:8" ht="30" customHeight="1" x14ac:dyDescent="0.45">
      <c r="A22" s="18" t="str">
        <f t="shared" si="0"/>
        <v/>
      </c>
      <c r="B22" s="40"/>
      <c r="C22" s="22" t="str">
        <f>IF(A22="","","Ronde "&amp;A22)</f>
        <v/>
      </c>
      <c r="F22" s="107" t="s">
        <v>70</v>
      </c>
      <c r="H22" s="6"/>
    </row>
    <row r="23" spans="1:8" ht="30" customHeight="1" x14ac:dyDescent="0.45">
      <c r="A23" s="18" t="str">
        <f t="shared" si="0"/>
        <v/>
      </c>
      <c r="B23" s="40"/>
      <c r="C23" s="22" t="str">
        <f>IF(A23="","","Ronde "&amp;A23)</f>
        <v/>
      </c>
      <c r="F23" s="131" t="s">
        <v>71</v>
      </c>
      <c r="H23" s="6"/>
    </row>
    <row r="24" spans="1:8" ht="30" customHeight="1" x14ac:dyDescent="0.45">
      <c r="A24" s="18" t="str">
        <f t="shared" si="0"/>
        <v/>
      </c>
      <c r="B24" s="40"/>
      <c r="C24" s="22" t="str">
        <f>IF(A24="","","Ronde "&amp;A24)</f>
        <v/>
      </c>
      <c r="F24" s="107" t="s">
        <v>72</v>
      </c>
      <c r="H24" s="6"/>
    </row>
    <row r="25" spans="1:8" ht="30" customHeight="1" x14ac:dyDescent="0.45">
      <c r="A25" s="18" t="str">
        <f t="shared" si="0"/>
        <v/>
      </c>
      <c r="B25" s="40"/>
      <c r="C25" s="22" t="str">
        <f>IF(A25="","","Ronde "&amp;A25)</f>
        <v/>
      </c>
      <c r="F25" s="131" t="s">
        <v>73</v>
      </c>
      <c r="H25" s="6"/>
    </row>
    <row r="26" spans="1:8" ht="30" customHeight="1" x14ac:dyDescent="0.45">
      <c r="A26" s="18" t="str">
        <f t="shared" si="0"/>
        <v/>
      </c>
      <c r="B26" s="40"/>
      <c r="C26" s="22" t="str">
        <f>IF(A26="","","Ronde "&amp;A26)</f>
        <v/>
      </c>
      <c r="F26" s="107" t="s">
        <v>74</v>
      </c>
      <c r="H26" s="6"/>
    </row>
    <row r="27" spans="1:8" ht="30" customHeight="1" x14ac:dyDescent="0.45">
      <c r="A27" s="18" t="str">
        <f t="shared" si="0"/>
        <v/>
      </c>
      <c r="B27" s="40"/>
      <c r="C27" s="22" t="str">
        <f>IF(A27="","","Ronde "&amp;A27)</f>
        <v/>
      </c>
      <c r="F27" s="131" t="s">
        <v>75</v>
      </c>
      <c r="H27" s="6"/>
    </row>
    <row r="28" spans="1:8" ht="30" customHeight="1" x14ac:dyDescent="0.45">
      <c r="A28" s="18" t="str">
        <f t="shared" si="0"/>
        <v/>
      </c>
      <c r="B28" s="40"/>
      <c r="C28" s="22" t="str">
        <f>IF(A28="","","Ronde "&amp;A28)</f>
        <v/>
      </c>
      <c r="F28" s="107" t="s">
        <v>76</v>
      </c>
      <c r="H28" s="6"/>
    </row>
    <row r="29" spans="1:8" ht="30" customHeight="1" x14ac:dyDescent="0.45">
      <c r="A29" s="18" t="str">
        <f t="shared" si="0"/>
        <v/>
      </c>
      <c r="B29" s="40"/>
      <c r="C29" s="22" t="str">
        <f>IF(A29="","","Ronde "&amp;A29)</f>
        <v/>
      </c>
      <c r="F29" s="131" t="s">
        <v>77</v>
      </c>
      <c r="H29" s="6"/>
    </row>
    <row r="30" spans="1:8" ht="30" customHeight="1" x14ac:dyDescent="0.45">
      <c r="A30" s="18" t="str">
        <f t="shared" si="0"/>
        <v/>
      </c>
      <c r="B30" s="40"/>
      <c r="C30" s="22" t="str">
        <f>IF(A30="","","Ronde "&amp;A30)</f>
        <v/>
      </c>
      <c r="F30" s="107" t="s">
        <v>78</v>
      </c>
      <c r="H30" s="6"/>
    </row>
    <row r="31" spans="1:8" ht="30" customHeight="1" x14ac:dyDescent="0.45">
      <c r="A31" s="18" t="str">
        <f t="shared" si="0"/>
        <v/>
      </c>
      <c r="B31" s="40"/>
      <c r="C31" s="22" t="str">
        <f>IF(A31="","","Ronde "&amp;A31)</f>
        <v/>
      </c>
      <c r="F31" s="131" t="s">
        <v>79</v>
      </c>
      <c r="H31" s="6"/>
    </row>
    <row r="32" spans="1:8" ht="30" customHeight="1" x14ac:dyDescent="0.45">
      <c r="A32" s="18" t="str">
        <f t="shared" si="0"/>
        <v/>
      </c>
      <c r="B32" s="40"/>
      <c r="C32" s="22" t="str">
        <f>IF(A32="","","Ronde "&amp;A32)</f>
        <v/>
      </c>
      <c r="F32" s="26"/>
      <c r="H32" s="6"/>
    </row>
    <row r="33" spans="1:8" ht="30" customHeight="1" x14ac:dyDescent="0.45">
      <c r="A33" s="18" t="str">
        <f t="shared" si="0"/>
        <v/>
      </c>
      <c r="B33" s="40"/>
      <c r="C33" s="22" t="str">
        <f>IF(A33="","","Ronde "&amp;A33)</f>
        <v/>
      </c>
      <c r="F33" s="26"/>
      <c r="H33" s="6"/>
    </row>
    <row r="34" spans="1:8" ht="30" customHeight="1" x14ac:dyDescent="0.45">
      <c r="A34" s="18" t="str">
        <f t="shared" si="0"/>
        <v/>
      </c>
      <c r="B34" s="40"/>
      <c r="C34" s="22" t="str">
        <f>IF(A34="","","Ronde "&amp;A34)</f>
        <v/>
      </c>
      <c r="F34" s="26"/>
      <c r="H34" s="6"/>
    </row>
    <row r="35" spans="1:8" ht="30" customHeight="1" x14ac:dyDescent="0.45">
      <c r="A35" s="19" t="str">
        <f t="shared" si="0"/>
        <v/>
      </c>
      <c r="B35" s="40"/>
      <c r="C35" s="23" t="str">
        <f>IF(A35="","","Ronde "&amp;A35)</f>
        <v/>
      </c>
      <c r="F35" s="27"/>
      <c r="H35" s="6"/>
    </row>
    <row r="36" spans="1:8" ht="30" customHeight="1" x14ac:dyDescent="0.45">
      <c r="A36" s="30" t="str">
        <f t="shared" si="0"/>
        <v/>
      </c>
      <c r="B36" s="40"/>
      <c r="C36" s="31" t="str">
        <f>IF(A36="","","Ronde "&amp;A36)</f>
        <v/>
      </c>
      <c r="F36" s="28"/>
      <c r="H36" s="6"/>
    </row>
    <row r="37" spans="1:8" ht="30" customHeight="1" x14ac:dyDescent="0.45">
      <c r="A37" s="6"/>
      <c r="B37" s="6"/>
      <c r="C37" s="6"/>
      <c r="F37" s="28"/>
      <c r="H37" s="6"/>
    </row>
    <row r="38" spans="1:8" ht="30" customHeight="1" x14ac:dyDescent="0.45">
      <c r="A38" s="6"/>
      <c r="B38" s="6"/>
      <c r="C38" s="6"/>
      <c r="F38" s="28"/>
      <c r="H38" s="6"/>
    </row>
    <row r="39" spans="1:8" ht="30" customHeight="1" x14ac:dyDescent="0.45">
      <c r="A39" s="6"/>
      <c r="B39" s="6"/>
      <c r="C39" s="6"/>
      <c r="F39" s="28"/>
      <c r="H39" s="6"/>
    </row>
    <row r="40" spans="1:8" ht="30" customHeight="1" x14ac:dyDescent="0.45">
      <c r="A40" s="6"/>
      <c r="B40" s="6"/>
      <c r="C40" s="6"/>
      <c r="F40" s="28"/>
      <c r="H40" s="6"/>
    </row>
    <row r="41" spans="1:8" ht="30" customHeight="1" x14ac:dyDescent="0.45">
      <c r="A41" s="6"/>
      <c r="B41" s="6"/>
      <c r="C41" s="6"/>
      <c r="F41" s="28"/>
      <c r="H41" s="6"/>
    </row>
    <row r="42" spans="1:8" ht="30" customHeight="1" x14ac:dyDescent="0.45">
      <c r="A42" s="6"/>
      <c r="B42" s="6"/>
      <c r="C42" s="6"/>
      <c r="F42" s="28"/>
      <c r="H42" s="6"/>
    </row>
    <row r="43" spans="1:8" ht="30" customHeight="1" x14ac:dyDescent="0.45">
      <c r="A43" s="6"/>
      <c r="B43" s="6"/>
      <c r="C43" s="6"/>
      <c r="F43" s="28"/>
      <c r="H43" s="6"/>
    </row>
    <row r="44" spans="1:8" ht="30" customHeight="1" x14ac:dyDescent="0.45">
      <c r="A44" s="6"/>
      <c r="B44" s="6"/>
      <c r="C44" s="6"/>
      <c r="F44" s="28"/>
      <c r="H44" s="6"/>
    </row>
    <row r="45" spans="1:8" ht="30" customHeight="1" x14ac:dyDescent="0.45">
      <c r="A45" s="6"/>
      <c r="B45" s="6"/>
      <c r="C45" s="6"/>
      <c r="F45" s="28"/>
      <c r="H45" s="6"/>
    </row>
    <row r="46" spans="1:8" ht="30" customHeight="1" x14ac:dyDescent="0.45">
      <c r="A46" s="6"/>
      <c r="B46" s="6"/>
      <c r="C46" s="6"/>
      <c r="F46" s="28"/>
      <c r="H46" s="6"/>
    </row>
    <row r="47" spans="1:8" ht="30" customHeight="1" x14ac:dyDescent="0.45">
      <c r="A47" s="6"/>
      <c r="B47" s="6"/>
      <c r="C47" s="6"/>
      <c r="F47" s="28"/>
      <c r="H47" s="6"/>
    </row>
    <row r="48" spans="1:8" ht="30" customHeight="1" x14ac:dyDescent="0.45">
      <c r="A48" s="6"/>
      <c r="B48" s="6"/>
      <c r="C48" s="6"/>
      <c r="F48" s="28"/>
      <c r="H48" s="6"/>
    </row>
    <row r="49" spans="1:8" ht="30" customHeight="1" x14ac:dyDescent="0.45">
      <c r="A49" s="6"/>
      <c r="B49" s="6"/>
      <c r="C49" s="6"/>
      <c r="F49" s="28"/>
      <c r="H49" s="6"/>
    </row>
    <row r="50" spans="1:8" ht="30" customHeight="1" x14ac:dyDescent="0.45">
      <c r="A50" s="6"/>
      <c r="B50" s="6"/>
      <c r="C50" s="6"/>
      <c r="F50" s="28"/>
      <c r="H50" s="6"/>
    </row>
    <row r="51" spans="1:8" ht="30" customHeight="1" x14ac:dyDescent="0.45">
      <c r="A51" s="1"/>
      <c r="B51" s="1"/>
      <c r="C51" s="1"/>
      <c r="F51" s="28"/>
    </row>
    <row r="52" spans="1:8" ht="30" customHeight="1" x14ac:dyDescent="0.45">
      <c r="A52" s="1"/>
      <c r="B52" s="1"/>
      <c r="C52" s="1"/>
      <c r="F52" s="28"/>
    </row>
    <row r="53" spans="1:8" ht="30" customHeight="1" x14ac:dyDescent="0.45">
      <c r="A53" s="1"/>
      <c r="B53" s="1"/>
      <c r="C53" s="1"/>
      <c r="F53" s="28"/>
    </row>
    <row r="54" spans="1:8" ht="30" customHeight="1" x14ac:dyDescent="0.45">
      <c r="A54" s="1"/>
      <c r="B54" s="1"/>
      <c r="C54" s="1"/>
      <c r="F54" s="28"/>
    </row>
    <row r="55" spans="1:8" ht="30" customHeight="1" x14ac:dyDescent="0.45">
      <c r="A55" s="1"/>
      <c r="B55" s="1"/>
      <c r="C55" s="1"/>
      <c r="F55" s="28"/>
    </row>
    <row r="56" spans="1:8" ht="30" customHeight="1" x14ac:dyDescent="0.45">
      <c r="A56" s="1"/>
      <c r="B56" s="1"/>
      <c r="C56" s="1"/>
      <c r="F56" s="28"/>
    </row>
    <row r="57" spans="1:8" ht="30" customHeight="1" x14ac:dyDescent="0.45">
      <c r="A57" s="1"/>
      <c r="B57" s="1"/>
      <c r="C57" s="1"/>
      <c r="F57" s="28"/>
    </row>
    <row r="58" spans="1:8" ht="30" customHeight="1" x14ac:dyDescent="0.45">
      <c r="A58" s="1"/>
      <c r="B58" s="1"/>
      <c r="C58" s="1"/>
      <c r="F58" s="28"/>
    </row>
    <row r="59" spans="1:8" ht="30" customHeight="1" x14ac:dyDescent="0.45">
      <c r="A59" s="1"/>
      <c r="B59" s="1"/>
      <c r="C59" s="1"/>
      <c r="F59" s="28"/>
    </row>
    <row r="60" spans="1:8" ht="30" customHeight="1" x14ac:dyDescent="0.45">
      <c r="A60" s="1"/>
      <c r="B60" s="1"/>
      <c r="C60" s="1"/>
      <c r="F60" s="28"/>
    </row>
    <row r="61" spans="1:8" ht="30" customHeight="1" x14ac:dyDescent="0.45">
      <c r="F61" s="28"/>
    </row>
    <row r="62" spans="1:8" ht="30" customHeight="1" x14ac:dyDescent="0.45">
      <c r="F62" s="28"/>
    </row>
    <row r="63" spans="1:8" ht="30" customHeight="1" x14ac:dyDescent="0.45">
      <c r="F63" s="28"/>
    </row>
    <row r="64" spans="1:8" ht="30" customHeight="1" x14ac:dyDescent="0.45">
      <c r="F64" s="28"/>
    </row>
    <row r="65" spans="6:6" ht="30" customHeight="1" x14ac:dyDescent="0.45">
      <c r="F65" s="28"/>
    </row>
    <row r="66" spans="6:6" ht="30" customHeight="1" x14ac:dyDescent="0.45">
      <c r="F66" s="28"/>
    </row>
    <row r="67" spans="6:6" ht="30" customHeight="1" x14ac:dyDescent="0.45">
      <c r="F67" s="28"/>
    </row>
  </sheetData>
  <phoneticPr fontId="15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1F9DA4-B714-4225-9222-ADBC653E208E}">
  <dimension ref="A1:AI61"/>
  <sheetViews>
    <sheetView zoomScale="85" zoomScaleNormal="85" workbookViewId="0">
      <pane xSplit="2" ySplit="1" topLeftCell="C2" activePane="bottomRight" state="frozen"/>
      <selection pane="topRight" activeCell="C1" sqref="C1"/>
      <selection pane="bottomLeft" activeCell="A2" sqref="A2"/>
      <selection pane="bottomRight" activeCell="C2" sqref="C2"/>
    </sheetView>
  </sheetViews>
  <sheetFormatPr defaultRowHeight="14.25" x14ac:dyDescent="0.45"/>
  <cols>
    <col min="1" max="1" width="32" style="41" customWidth="1"/>
    <col min="2" max="2" width="12.46484375" style="78" customWidth="1"/>
    <col min="3" max="32" width="13.33203125" style="41" customWidth="1"/>
    <col min="33" max="33" width="4.86328125" style="41" bestFit="1" customWidth="1"/>
    <col min="34" max="34" width="4.06640625" style="41" bestFit="1" customWidth="1"/>
    <col min="35" max="35" width="10" style="41" bestFit="1" customWidth="1"/>
    <col min="36" max="16384" width="9.06640625" style="41"/>
  </cols>
  <sheetData>
    <row r="1" spans="1:35" ht="32" customHeight="1" x14ac:dyDescent="0.45">
      <c r="A1" s="73" t="s">
        <v>0</v>
      </c>
      <c r="B1" s="73" t="s">
        <v>3</v>
      </c>
      <c r="C1" s="73" t="str" cm="1">
        <f t="array" ref="C1">IFERROR(IF(COLUMNS($C1:C1)&lt;=Beheer!$C$4,IF(LEFT(INDEX(Beheer!$C$7:$C$36,COLUMNS($C1:C1)),6)="Ronde ","R"&amp;MID(INDEX(Beheer!$C$7:$C$36,COLUMNS($C1:C1)),7,10),LEFT(INDEX(Beheer!$C$7:$C$36,COLUMNS($C1:C1)),7))&amp;" (/"&amp;INDEX(Beheer!$B$7:$B$37,COLUMNS($C1:C1))&amp;")","")," ")</f>
        <v>Rond de (/10)</v>
      </c>
      <c r="D1" s="73" t="str" cm="1">
        <f t="array" ref="D1">IFERROR(IF(COLUMNS($C1:D1)&lt;=Beheer!$C$4,IF(LEFT(INDEX(Beheer!$C$7:$C$36,COLUMNS($C1:D1)),6)="Ronde ","R"&amp;MID(INDEX(Beheer!$C$7:$C$36,COLUMNS($C1:D1)),7,10),LEFT(INDEX(Beheer!$C$7:$C$36,COLUMNS($C1:D1)),7))&amp;" (/"&amp;INDEX(Beheer!$B$7:$B$37,COLUMNS($C1:D1))&amp;")","")," ")</f>
        <v>Woordsl (/10)</v>
      </c>
      <c r="E1" s="73" t="str" cm="1">
        <f t="array" ref="E1">IFERROR(IF(COLUMNS($C1:E1)&lt;=Beheer!$C$4,IF(LEFT(INDEX(Beheer!$C$7:$C$36,COLUMNS($C1:E1)),6)="Ronde ","R"&amp;MID(INDEX(Beheer!$C$7:$C$36,COLUMNS($C1:E1)),7,10),LEFT(INDEX(Beheer!$C$7:$C$36,COLUMNS($C1:E1)),7))&amp;" (/"&amp;INDEX(Beheer!$B$7:$B$37,COLUMNS($C1:E1))&amp;")","")," ")</f>
        <v>Lokaal (/10)</v>
      </c>
      <c r="F1" s="73" t="str" cm="1">
        <f t="array" ref="F1">IFERROR(IF(COLUMNS($C1:F1)&lt;=Beheer!$C$4,IF(LEFT(INDEX(Beheer!$C$7:$C$36,COLUMNS($C1:F1)),6)="Ronde ","R"&amp;MID(INDEX(Beheer!$C$7:$C$36,COLUMNS($C1:F1)),7,10),LEFT(INDEX(Beheer!$C$7:$C$36,COLUMNS($C1:F1)),7))&amp;" (/"&amp;INDEX(Beheer!$B$7:$B$37,COLUMNS($C1:F1))&amp;")","")," ")</f>
        <v>Tussenr (/20)</v>
      </c>
      <c r="G1" s="73" t="str" cm="1">
        <f t="array" ref="G1">IFERROR(IF(COLUMNS($C1:G1)&lt;=Beheer!$C$4,IF(LEFT(INDEX(Beheer!$C$7:$C$36,COLUMNS($C1:G1)),6)="Ronde ","R"&amp;MID(INDEX(Beheer!$C$7:$C$36,COLUMNS($C1:G1)),7,10),LEFT(INDEX(Beheer!$C$7:$C$36,COLUMNS($C1:G1)),7))&amp;" (/"&amp;INDEX(Beheer!$B$7:$B$37,COLUMNS($C1:G1))&amp;")","")," ")</f>
        <v>Actua (/10)</v>
      </c>
      <c r="H1" s="73" t="str" cm="1">
        <f t="array" ref="H1">IFERROR(IF(COLUMNS($C1:H1)&lt;=Beheer!$C$4,IF(LEFT(INDEX(Beheer!$C$7:$C$36,COLUMNS($C1:H1)),6)="Ronde ","R"&amp;MID(INDEX(Beheer!$C$7:$C$36,COLUMNS($C1:H1)),7,10),LEFT(INDEX(Beheer!$C$7:$C$36,COLUMNS($C1:H1)),7))&amp;" (/"&amp;INDEX(Beheer!$B$7:$B$37,COLUMNS($C1:H1))&amp;")","")," ")</f>
        <v>Film (/10)</v>
      </c>
      <c r="I1" s="73" t="str" cm="1">
        <f t="array" ref="I1">IFERROR(IF(COLUMNS($C1:I1)&lt;=Beheer!$C$4,IF(LEFT(INDEX(Beheer!$C$7:$C$36,COLUMNS($C1:I1)),6)="Ronde ","R"&amp;MID(INDEX(Beheer!$C$7:$C$36,COLUMNS($C1:I1)),7,10),LEFT(INDEX(Beheer!$C$7:$C$36,COLUMNS($C1:I1)),7))&amp;" (/"&amp;INDEX(Beheer!$B$7:$B$37,COLUMNS($C1:I1))&amp;")","")," ")</f>
        <v>Fauna e (/10)</v>
      </c>
      <c r="J1" s="73" t="str" cm="1">
        <f t="array" ref="J1">IFERROR(IF(COLUMNS($C1:J1)&lt;=Beheer!$C$4,IF(LEFT(INDEX(Beheer!$C$7:$C$36,COLUMNS($C1:J1)),6)="Ronde ","R"&amp;MID(INDEX(Beheer!$C$7:$C$36,COLUMNS($C1:J1)),7,10),LEFT(INDEX(Beheer!$C$7:$C$36,COLUMNS($C1:J1)),7))&amp;" (/"&amp;INDEX(Beheer!$B$7:$B$37,COLUMNS($C1:J1))&amp;")","")," ")</f>
        <v>Tussenr (/15)</v>
      </c>
      <c r="K1" s="73" t="str" cm="1">
        <f t="array" ref="K1">IFERROR(IF(COLUMNS($C1:K1)&lt;=Beheer!$C$4,IF(LEFT(INDEX(Beheer!$C$7:$C$36,COLUMNS($C1:K1)),6)="Ronde ","R"&amp;MID(INDEX(Beheer!$C$7:$C$36,COLUMNS($C1:K1)),7,10),LEFT(INDEX(Beheer!$C$7:$C$36,COLUMNS($C1:K1)),7))&amp;" (/"&amp;INDEX(Beheer!$B$7:$B$37,COLUMNS($C1:K1))&amp;")","")," ")</f>
        <v>Muziek (/10)</v>
      </c>
      <c r="L1" s="73" t="str" cm="1">
        <f t="array" ref="L1">IFERROR(IF(COLUMNS($C1:L1)&lt;=Beheer!$C$4,IF(LEFT(INDEX(Beheer!$C$7:$C$36,COLUMNS($C1:L1)),6)="Ronde ","R"&amp;MID(INDEX(Beheer!$C$7:$C$36,COLUMNS($C1:L1)),7,10),LEFT(INDEX(Beheer!$C$7:$C$36,COLUMNS($C1:L1)),7))&amp;" (/"&amp;INDEX(Beheer!$B$7:$B$37,COLUMNS($C1:L1))&amp;")","")," ")</f>
        <v>Kleuren (/10)</v>
      </c>
      <c r="M1" s="73" t="str" cm="1">
        <f t="array" ref="M1">IFERROR(IF(COLUMNS($C1:M1)&lt;=Beheer!$C$4,IF(LEFT(INDEX(Beheer!$C$7:$C$36,COLUMNS($C1:M1)),6)="Ronde ","R"&amp;MID(INDEX(Beheer!$C$7:$C$36,COLUMNS($C1:M1)),7,10),LEFT(INDEX(Beheer!$C$7:$C$36,COLUMNS($C1:M1)),7))&amp;" (/"&amp;INDEX(Beheer!$B$7:$B$37,COLUMNS($C1:M1))&amp;")","")," ")</f>
        <v>Tussenr (/5)</v>
      </c>
      <c r="N1" s="73" t="str" cm="1">
        <f t="array" ref="N1">IFERROR(IF(COLUMNS($C1:N1)&lt;=Beheer!$C$4,IF(LEFT(INDEX(Beheer!$C$7:$C$36,COLUMNS($C1:N1)),6)="Ronde ","R"&amp;MID(INDEX(Beheer!$C$7:$C$36,COLUMNS($C1:N1)),7,10),LEFT(INDEX(Beheer!$C$7:$C$36,COLUMNS($C1:N1)),7))&amp;" (/"&amp;INDEX(Beheer!$B$7:$B$37,COLUMNS($C1:N1))&amp;")","")," ")</f>
        <v>Eindspe (/10)</v>
      </c>
      <c r="O1" s="73" t="str" cm="1">
        <f t="array" ref="O1">IFERROR(IF(COLUMNS($C1:O1)&lt;=Beheer!$C$4,IF(LEFT(INDEX(Beheer!$C$7:$C$36,COLUMNS($C1:O1)),6)="Ronde ","R"&amp;MID(INDEX(Beheer!$C$7:$C$36,COLUMNS($C1:O1)),7,10),LEFT(INDEX(Beheer!$C$7:$C$36,COLUMNS($C1:O1)),7))&amp;" (/"&amp;INDEX(Beheer!$B$7:$B$37,COLUMNS($C1:O1))&amp;")","")," ")</f>
        <v/>
      </c>
      <c r="P1" s="73" t="str" cm="1">
        <f t="array" ref="P1">IFERROR(IF(COLUMNS($C1:P1)&lt;=Beheer!$C$4,IF(LEFT(INDEX(Beheer!$C$7:$C$36,COLUMNS($C1:P1)),6)="Ronde ","R"&amp;MID(INDEX(Beheer!$C$7:$C$36,COLUMNS($C1:P1)),7,10),LEFT(INDEX(Beheer!$C$7:$C$36,COLUMNS($C1:P1)),7))&amp;" (/"&amp;INDEX(Beheer!$B$7:$B$37,COLUMNS($C1:P1))&amp;")","")," ")</f>
        <v/>
      </c>
      <c r="Q1" s="73" t="str" cm="1">
        <f t="array" ref="Q1">IFERROR(IF(COLUMNS($C1:Q1)&lt;=Beheer!$C$4,IF(LEFT(INDEX(Beheer!$C$7:$C$36,COLUMNS($C1:Q1)),6)="Ronde ","R"&amp;MID(INDEX(Beheer!$C$7:$C$36,COLUMNS($C1:Q1)),7,10),LEFT(INDEX(Beheer!$C$7:$C$36,COLUMNS($C1:Q1)),7))&amp;" (/"&amp;INDEX(Beheer!$B$7:$B$37,COLUMNS($C1:Q1))&amp;")","")," ")</f>
        <v/>
      </c>
      <c r="R1" s="73" t="str" cm="1">
        <f t="array" ref="R1">IFERROR(IF(COLUMNS($C1:R1)&lt;=Beheer!$C$4,IF(LEFT(INDEX(Beheer!$C$7:$C$36,COLUMNS($C1:R1)),6)="Ronde ","R"&amp;MID(INDEX(Beheer!$C$7:$C$36,COLUMNS($C1:R1)),7,10),LEFT(INDEX(Beheer!$C$7:$C$36,COLUMNS($C1:R1)),7))&amp;" (/"&amp;INDEX(Beheer!$B$7:$B$37,COLUMNS($C1:R1))&amp;")","")," ")</f>
        <v/>
      </c>
      <c r="S1" s="73" t="str" cm="1">
        <f t="array" ref="S1">IFERROR(IF(COLUMNS($C1:S1)&lt;=Beheer!$C$4,IF(LEFT(INDEX(Beheer!$C$7:$C$36,COLUMNS($C1:S1)),6)="Ronde ","R"&amp;MID(INDEX(Beheer!$C$7:$C$36,COLUMNS($C1:S1)),7,10),LEFT(INDEX(Beheer!$C$7:$C$36,COLUMNS($C1:S1)),7))&amp;" (/"&amp;INDEX(Beheer!$B$7:$B$37,COLUMNS($C1:S1))&amp;")","")," ")</f>
        <v/>
      </c>
      <c r="T1" s="73" t="str" cm="1">
        <f t="array" ref="T1">IFERROR(IF(COLUMNS($C1:T1)&lt;=Beheer!$C$4,IF(LEFT(INDEX(Beheer!$C$7:$C$36,COLUMNS($C1:T1)),6)="Ronde ","R"&amp;MID(INDEX(Beheer!$C$7:$C$36,COLUMNS($C1:T1)),7,10),LEFT(INDEX(Beheer!$C$7:$C$36,COLUMNS($C1:T1)),7))&amp;" (/"&amp;INDEX(Beheer!$B$7:$B$37,COLUMNS($C1:T1))&amp;")","")," ")</f>
        <v/>
      </c>
      <c r="U1" s="73" t="str" cm="1">
        <f t="array" ref="U1">IFERROR(IF(COLUMNS($C1:U1)&lt;=Beheer!$C$4,IF(LEFT(INDEX(Beheer!$C$7:$C$36,COLUMNS($C1:U1)),6)="Ronde ","R"&amp;MID(INDEX(Beheer!$C$7:$C$36,COLUMNS($C1:U1)),7,10),LEFT(INDEX(Beheer!$C$7:$C$36,COLUMNS($C1:U1)),7))&amp;" (/"&amp;INDEX(Beheer!$B$7:$B$37,COLUMNS($C1:U1))&amp;")","")," ")</f>
        <v/>
      </c>
      <c r="V1" s="73" t="str" cm="1">
        <f t="array" ref="V1">IFERROR(IF(COLUMNS($C1:V1)&lt;=Beheer!$C$4,IF(LEFT(INDEX(Beheer!$C$7:$C$36,COLUMNS($C1:V1)),6)="Ronde ","R"&amp;MID(INDEX(Beheer!$C$7:$C$36,COLUMNS($C1:V1)),7,10),LEFT(INDEX(Beheer!$C$7:$C$36,COLUMNS($C1:V1)),7))&amp;" (/"&amp;INDEX(Beheer!$B$7:$B$37,COLUMNS($C1:V1))&amp;")","")," ")</f>
        <v/>
      </c>
      <c r="W1" s="73" t="str" cm="1">
        <f t="array" ref="W1">IFERROR(IF(COLUMNS($C1:W1)&lt;=Beheer!$C$4,IF(LEFT(INDEX(Beheer!$C$7:$C$36,COLUMNS($C1:W1)),6)="Ronde ","R"&amp;MID(INDEX(Beheer!$C$7:$C$36,COLUMNS($C1:W1)),7,10),LEFT(INDEX(Beheer!$C$7:$C$36,COLUMNS($C1:W1)),7))&amp;" (/"&amp;INDEX(Beheer!$B$7:$B$37,COLUMNS($C1:W1))&amp;")","")," ")</f>
        <v/>
      </c>
      <c r="X1" s="73" t="str" cm="1">
        <f t="array" ref="X1">IFERROR(IF(COLUMNS($C1:X1)&lt;=Beheer!$C$4,IF(LEFT(INDEX(Beheer!$C$7:$C$36,COLUMNS($C1:X1)),6)="Ronde ","R"&amp;MID(INDEX(Beheer!$C$7:$C$36,COLUMNS($C1:X1)),7,10),LEFT(INDEX(Beheer!$C$7:$C$36,COLUMNS($C1:X1)),7))&amp;" (/"&amp;INDEX(Beheer!$B$7:$B$37,COLUMNS($C1:X1))&amp;")","")," ")</f>
        <v/>
      </c>
      <c r="Y1" s="73" t="str" cm="1">
        <f t="array" ref="Y1">IFERROR(IF(COLUMNS($C1:Y1)&lt;=Beheer!$C$4,IF(LEFT(INDEX(Beheer!$C$7:$C$36,COLUMNS($C1:Y1)),6)="Ronde ","R"&amp;MID(INDEX(Beheer!$C$7:$C$36,COLUMNS($C1:Y1)),7,10),LEFT(INDEX(Beheer!$C$7:$C$36,COLUMNS($C1:Y1)),7))&amp;" (/"&amp;INDEX(Beheer!$B$7:$B$37,COLUMNS($C1:Y1))&amp;")","")," ")</f>
        <v/>
      </c>
      <c r="Z1" s="73" t="str" cm="1">
        <f t="array" ref="Z1">IFERROR(IF(COLUMNS($C1:Z1)&lt;=Beheer!$C$4,IF(LEFT(INDEX(Beheer!$C$7:$C$36,COLUMNS($C1:Z1)),6)="Ronde ","R"&amp;MID(INDEX(Beheer!$C$7:$C$36,COLUMNS($C1:Z1)),7,10),LEFT(INDEX(Beheer!$C$7:$C$36,COLUMNS($C1:Z1)),7))&amp;" (/"&amp;INDEX(Beheer!$B$7:$B$37,COLUMNS($C1:Z1))&amp;")","")," ")</f>
        <v/>
      </c>
      <c r="AA1" s="73" t="str" cm="1">
        <f t="array" ref="AA1">IFERROR(IF(COLUMNS($C1:AA1)&lt;=Beheer!$C$4,IF(LEFT(INDEX(Beheer!$C$7:$C$36,COLUMNS($C1:AA1)),6)="Ronde ","R"&amp;MID(INDEX(Beheer!$C$7:$C$36,COLUMNS($C1:AA1)),7,10),LEFT(INDEX(Beheer!$C$7:$C$36,COLUMNS($C1:AA1)),7))&amp;" (/"&amp;INDEX(Beheer!$B$7:$B$37,COLUMNS($C1:AA1))&amp;")","")," ")</f>
        <v/>
      </c>
      <c r="AB1" s="73" t="str" cm="1">
        <f t="array" ref="AB1">IFERROR(IF(COLUMNS($C1:AB1)&lt;=Beheer!$C$4,IF(LEFT(INDEX(Beheer!$C$7:$C$36,COLUMNS($C1:AB1)),6)="Ronde ","R"&amp;MID(INDEX(Beheer!$C$7:$C$36,COLUMNS($C1:AB1)),7,10),LEFT(INDEX(Beheer!$C$7:$C$36,COLUMNS($C1:AB1)),7))&amp;" (/"&amp;INDEX(Beheer!$B$7:$B$37,COLUMNS($C1:AB1))&amp;")","")," ")</f>
        <v/>
      </c>
      <c r="AC1" s="73" t="str" cm="1">
        <f t="array" ref="AC1">IFERROR(IF(COLUMNS($C1:AC1)&lt;=Beheer!$C$4,IF(LEFT(INDEX(Beheer!$C$7:$C$36,COLUMNS($C1:AC1)),6)="Ronde ","R"&amp;MID(INDEX(Beheer!$C$7:$C$36,COLUMNS($C1:AC1)),7,10),LEFT(INDEX(Beheer!$C$7:$C$36,COLUMNS($C1:AC1)),7))&amp;" (/"&amp;INDEX(Beheer!$B$7:$B$37,COLUMNS($C1:AC1))&amp;")","")," ")</f>
        <v/>
      </c>
      <c r="AD1" s="73" t="str" cm="1">
        <f t="array" ref="AD1">IFERROR(IF(COLUMNS($C1:AD1)&lt;=Beheer!$C$4,IF(LEFT(INDEX(Beheer!$C$7:$C$36,COLUMNS($C1:AD1)),6)="Ronde ","R"&amp;MID(INDEX(Beheer!$C$7:$C$36,COLUMNS($C1:AD1)),7,10),LEFT(INDEX(Beheer!$C$7:$C$36,COLUMNS($C1:AD1)),7))&amp;" (/"&amp;INDEX(Beheer!$B$7:$B$37,COLUMNS($C1:AD1))&amp;")","")," ")</f>
        <v/>
      </c>
      <c r="AE1" s="73" t="str" cm="1">
        <f t="array" ref="AE1">IFERROR(IF(COLUMNS($C1:AE1)&lt;=Beheer!$C$4,IF(LEFT(INDEX(Beheer!$C$7:$C$36,COLUMNS($C1:AE1)),6)="Ronde ","R"&amp;MID(INDEX(Beheer!$C$7:$C$36,COLUMNS($C1:AE1)),7,10),LEFT(INDEX(Beheer!$C$7:$C$36,COLUMNS($C1:AE1)),7))&amp;" (/"&amp;INDEX(Beheer!$B$7:$B$37,COLUMNS($C1:AE1))&amp;")","")," ")</f>
        <v/>
      </c>
      <c r="AF1" s="73" t="str" cm="1">
        <f t="array" ref="AF1">IFERROR(IF(COLUMNS($C1:AF1)&lt;=Beheer!$C$4,IF(LEFT(INDEX(Beheer!$C$7:$C$36,COLUMNS($C1:AF1)),6)="Ronde ","R"&amp;MID(INDEX(Beheer!$C$7:$C$36,COLUMNS($C1:AF1)),7,10),LEFT(INDEX(Beheer!$C$7:$C$36,COLUMNS($C1:AF1)),7))&amp;" (/"&amp;INDEX(Beheer!$B$7:$B$37,COLUMNS($C1:AF1))&amp;")","")," ")</f>
        <v/>
      </c>
      <c r="AG1" s="73" t="s">
        <v>27</v>
      </c>
      <c r="AH1" s="73" t="s">
        <v>1</v>
      </c>
      <c r="AI1" s="73" t="s">
        <v>28</v>
      </c>
    </row>
    <row r="2" spans="1:35" ht="24" customHeight="1" x14ac:dyDescent="0.45">
      <c r="A2" s="125" t="str" cm="1">
        <f t="array" ref="A2">IFERROR(IF(INDEX(Beheer!$F$7:$F$66,ROWS($A$2:A2))="","",INDEX(Beheer!$F$7:$F$66,ROWS($A$2:A2))),"")</f>
        <v>De Frietkotbazen</v>
      </c>
      <c r="B2" s="126">
        <v>17</v>
      </c>
      <c r="C2" s="127">
        <v>10</v>
      </c>
      <c r="D2" s="127">
        <v>1</v>
      </c>
      <c r="E2" s="127">
        <v>1</v>
      </c>
      <c r="F2" s="127">
        <v>20</v>
      </c>
      <c r="G2" s="127">
        <v>8</v>
      </c>
      <c r="H2" s="127">
        <v>1</v>
      </c>
      <c r="I2" s="127">
        <v>5</v>
      </c>
      <c r="J2" s="127">
        <v>4</v>
      </c>
      <c r="K2" s="127">
        <v>3</v>
      </c>
      <c r="L2" s="127">
        <v>8</v>
      </c>
      <c r="M2" s="127">
        <v>1</v>
      </c>
      <c r="N2" s="127">
        <v>3</v>
      </c>
      <c r="O2" s="127"/>
      <c r="P2" s="127"/>
      <c r="Q2" s="127"/>
      <c r="R2" s="127"/>
      <c r="S2" s="127"/>
      <c r="T2" s="127"/>
      <c r="U2" s="127"/>
      <c r="V2" s="127"/>
      <c r="W2" s="127"/>
      <c r="X2" s="127"/>
      <c r="Y2" s="127"/>
      <c r="Z2" s="127"/>
      <c r="AA2" s="127"/>
      <c r="AB2" s="127"/>
      <c r="AC2" s="127"/>
      <c r="AD2" s="127"/>
      <c r="AE2" s="127"/>
      <c r="AF2" s="127"/>
      <c r="AG2" s="128">
        <f t="shared" ref="AG2:AG33" si="0">IF($A2="","",SUM(C2:AF2))</f>
        <v>65</v>
      </c>
      <c r="AH2" s="128" cm="1">
        <f t="array" ref="AH2">IF($A2="","",SUMPRODUCT((ROW(Beheer!$B$7:$B$36)-ROW(Beheer!$B$7)+1&lt;=Beheer!$C$4)*IFERROR(Beheer!$B$7:$B$36*1,0)))</f>
        <v>130</v>
      </c>
      <c r="AI2" s="127">
        <f t="shared" ref="AI2:AI33" si="1">IF($A2="",-1,SUM(C2:AF2)-IFERROR(B2,999)/100000)</f>
        <v>64.999830000000003</v>
      </c>
    </row>
    <row r="3" spans="1:35" ht="24" customHeight="1" x14ac:dyDescent="0.45">
      <c r="A3" s="74" t="str" cm="1">
        <f t="array" ref="A3">IFERROR(IF(INDEX(Beheer!$F$7:$F$66,ROWS($A$2:A3))="","",INDEX(Beheer!$F$7:$F$66,ROWS($A$2:A3))),"")</f>
        <v>Manneke Pis &amp; Co</v>
      </c>
      <c r="B3" s="122">
        <v>4</v>
      </c>
      <c r="C3" s="75">
        <v>10</v>
      </c>
      <c r="D3" s="75">
        <v>8</v>
      </c>
      <c r="E3" s="75">
        <v>9</v>
      </c>
      <c r="F3" s="75">
        <v>4</v>
      </c>
      <c r="G3" s="75">
        <v>9</v>
      </c>
      <c r="H3" s="75">
        <v>10</v>
      </c>
      <c r="I3" s="75">
        <v>6</v>
      </c>
      <c r="J3" s="75">
        <v>2</v>
      </c>
      <c r="K3" s="75">
        <v>3</v>
      </c>
      <c r="L3" s="75">
        <v>6</v>
      </c>
      <c r="M3" s="75">
        <v>4</v>
      </c>
      <c r="N3" s="75">
        <v>9</v>
      </c>
      <c r="O3" s="75"/>
      <c r="P3" s="75"/>
      <c r="Q3" s="75"/>
      <c r="R3" s="75"/>
      <c r="S3" s="75"/>
      <c r="T3" s="75"/>
      <c r="U3" s="75"/>
      <c r="V3" s="75"/>
      <c r="W3" s="75"/>
      <c r="X3" s="75"/>
      <c r="Y3" s="75"/>
      <c r="Z3" s="75"/>
      <c r="AA3" s="75"/>
      <c r="AB3" s="75"/>
      <c r="AC3" s="75"/>
      <c r="AD3" s="75"/>
      <c r="AE3" s="75"/>
      <c r="AF3" s="75"/>
      <c r="AG3" s="76">
        <f t="shared" si="0"/>
        <v>80</v>
      </c>
      <c r="AH3" s="76" cm="1">
        <f t="array" ref="AH3">IF($A3="","",SUMPRODUCT((ROW(Beheer!$B$7:$B$36)-ROW(Beheer!$B$7)+1&lt;=Beheer!$C$4)*IFERROR(Beheer!$B$7:$B$36*1,0)))</f>
        <v>130</v>
      </c>
      <c r="AI3" s="75">
        <f t="shared" si="1"/>
        <v>79.999960000000002</v>
      </c>
    </row>
    <row r="4" spans="1:35" ht="24" customHeight="1" x14ac:dyDescent="0.45">
      <c r="A4" s="125" t="str" cm="1">
        <f t="array" ref="A4">IFERROR(IF(INDEX(Beheer!$F$7:$F$66,ROWS($A$2:A4))="","",INDEX(Beheer!$F$7:$F$66,ROWS($A$2:A4))),"")</f>
        <v>De Trage Schildpadden</v>
      </c>
      <c r="B4" s="126">
        <v>22</v>
      </c>
      <c r="C4" s="127">
        <v>3</v>
      </c>
      <c r="D4" s="127">
        <v>10</v>
      </c>
      <c r="E4" s="127">
        <v>3</v>
      </c>
      <c r="F4" s="127">
        <v>6</v>
      </c>
      <c r="G4" s="127">
        <v>5</v>
      </c>
      <c r="H4" s="127">
        <v>1</v>
      </c>
      <c r="I4" s="127">
        <v>2</v>
      </c>
      <c r="J4" s="127">
        <v>10</v>
      </c>
      <c r="K4" s="127">
        <v>1</v>
      </c>
      <c r="L4" s="127">
        <v>9</v>
      </c>
      <c r="M4" s="127">
        <v>2</v>
      </c>
      <c r="N4" s="127">
        <v>4</v>
      </c>
      <c r="O4" s="127"/>
      <c r="P4" s="127"/>
      <c r="Q4" s="127"/>
      <c r="R4" s="127"/>
      <c r="S4" s="127"/>
      <c r="T4" s="127"/>
      <c r="U4" s="127"/>
      <c r="V4" s="127"/>
      <c r="W4" s="127"/>
      <c r="X4" s="127"/>
      <c r="Y4" s="127"/>
      <c r="Z4" s="127"/>
      <c r="AA4" s="127"/>
      <c r="AB4" s="127"/>
      <c r="AC4" s="127"/>
      <c r="AD4" s="127"/>
      <c r="AE4" s="127"/>
      <c r="AF4" s="127"/>
      <c r="AG4" s="128">
        <f t="shared" si="0"/>
        <v>56</v>
      </c>
      <c r="AH4" s="128" cm="1">
        <f t="array" ref="AH4">IF($A4="","",SUMPRODUCT((ROW(Beheer!$B$7:$B$36)-ROW(Beheer!$B$7)+1&lt;=Beheer!$C$4)*IFERROR(Beheer!$B$7:$B$36*1,0)))</f>
        <v>130</v>
      </c>
      <c r="AI4" s="127">
        <f t="shared" si="1"/>
        <v>55.999780000000001</v>
      </c>
    </row>
    <row r="5" spans="1:35" ht="24" customHeight="1" x14ac:dyDescent="0.45">
      <c r="A5" s="74" t="str" cm="1">
        <f t="array" ref="A5">IFERROR(IF(INDEX(Beheer!$F$7:$F$66,ROWS($A$2:A5))="","",INDEX(Beheer!$F$7:$F$66,ROWS($A$2:A5))),"")</f>
        <v>Stoempers United</v>
      </c>
      <c r="B5" s="122">
        <v>9</v>
      </c>
      <c r="C5" s="75">
        <v>5</v>
      </c>
      <c r="D5" s="75">
        <v>1</v>
      </c>
      <c r="E5" s="75">
        <v>9</v>
      </c>
      <c r="F5" s="75">
        <v>8</v>
      </c>
      <c r="G5" s="75">
        <v>9</v>
      </c>
      <c r="H5" s="75">
        <v>7</v>
      </c>
      <c r="I5" s="75">
        <v>8</v>
      </c>
      <c r="J5" s="75">
        <v>5</v>
      </c>
      <c r="K5" s="75">
        <v>4</v>
      </c>
      <c r="L5" s="75">
        <v>3</v>
      </c>
      <c r="M5" s="75">
        <v>3</v>
      </c>
      <c r="N5" s="75">
        <v>9</v>
      </c>
      <c r="O5" s="75"/>
      <c r="P5" s="75"/>
      <c r="Q5" s="75"/>
      <c r="R5" s="75"/>
      <c r="S5" s="75"/>
      <c r="T5" s="75"/>
      <c r="U5" s="75"/>
      <c r="V5" s="75"/>
      <c r="W5" s="75"/>
      <c r="X5" s="75"/>
      <c r="Y5" s="75"/>
      <c r="Z5" s="75"/>
      <c r="AA5" s="75"/>
      <c r="AB5" s="75"/>
      <c r="AC5" s="75"/>
      <c r="AD5" s="75"/>
      <c r="AE5" s="75"/>
      <c r="AF5" s="75"/>
      <c r="AG5" s="76">
        <f t="shared" si="0"/>
        <v>71</v>
      </c>
      <c r="AH5" s="76" cm="1">
        <f t="array" ref="AH5">IF($A5="","",SUMPRODUCT((ROW(Beheer!$B$7:$B$36)-ROW(Beheer!$B$7)+1&lt;=Beheer!$C$4)*IFERROR(Beheer!$B$7:$B$36*1,0)))</f>
        <v>130</v>
      </c>
      <c r="AI5" s="75">
        <f t="shared" si="1"/>
        <v>70.99991</v>
      </c>
    </row>
    <row r="6" spans="1:35" ht="24" customHeight="1" x14ac:dyDescent="0.45">
      <c r="A6" s="125" t="str" cm="1">
        <f t="array" ref="A6">IFERROR(IF(INDEX(Beheer!$F$7:$F$66,ROWS($A$2:A6))="","",INDEX(Beheer!$F$7:$F$66,ROWS($A$2:A6))),"")</f>
        <v>De Bierbuiken</v>
      </c>
      <c r="B6" s="126">
        <v>1</v>
      </c>
      <c r="C6" s="127">
        <v>3</v>
      </c>
      <c r="D6" s="127">
        <v>1</v>
      </c>
      <c r="E6" s="127">
        <v>5</v>
      </c>
      <c r="F6" s="127">
        <v>8</v>
      </c>
      <c r="G6" s="127">
        <v>1</v>
      </c>
      <c r="H6" s="127">
        <v>5</v>
      </c>
      <c r="I6" s="127">
        <v>9</v>
      </c>
      <c r="J6" s="127">
        <v>8</v>
      </c>
      <c r="K6" s="127">
        <v>4</v>
      </c>
      <c r="L6" s="127">
        <v>5</v>
      </c>
      <c r="M6" s="127">
        <v>2</v>
      </c>
      <c r="N6" s="127">
        <v>8</v>
      </c>
      <c r="O6" s="127"/>
      <c r="P6" s="127"/>
      <c r="Q6" s="127"/>
      <c r="R6" s="127"/>
      <c r="S6" s="127"/>
      <c r="T6" s="127"/>
      <c r="U6" s="127"/>
      <c r="V6" s="127"/>
      <c r="W6" s="127"/>
      <c r="X6" s="127"/>
      <c r="Y6" s="127"/>
      <c r="Z6" s="127"/>
      <c r="AA6" s="127"/>
      <c r="AB6" s="127"/>
      <c r="AC6" s="127"/>
      <c r="AD6" s="127"/>
      <c r="AE6" s="127"/>
      <c r="AF6" s="127"/>
      <c r="AG6" s="128">
        <f t="shared" si="0"/>
        <v>59</v>
      </c>
      <c r="AH6" s="128" cm="1">
        <f t="array" ref="AH6">IF($A6="","",SUMPRODUCT((ROW(Beheer!$B$7:$B$36)-ROW(Beheer!$B$7)+1&lt;=Beheer!$C$4)*IFERROR(Beheer!$B$7:$B$36*1,0)))</f>
        <v>130</v>
      </c>
      <c r="AI6" s="127">
        <f t="shared" si="1"/>
        <v>58.999989999999997</v>
      </c>
    </row>
    <row r="7" spans="1:35" ht="24" customHeight="1" x14ac:dyDescent="0.45">
      <c r="A7" s="74" t="str" cm="1">
        <f t="array" ref="A7">IFERROR(IF(INDEX(Beheer!$F$7:$F$66,ROWS($A$2:A7))="","",INDEX(Beheer!$F$7:$F$66,ROWS($A$2:A7))),"")</f>
        <v>Tjevenbende</v>
      </c>
      <c r="B7" s="122">
        <v>13</v>
      </c>
      <c r="C7" s="75">
        <v>3</v>
      </c>
      <c r="D7" s="75">
        <v>10</v>
      </c>
      <c r="E7" s="75">
        <v>3</v>
      </c>
      <c r="F7" s="75">
        <v>14</v>
      </c>
      <c r="G7" s="75">
        <v>8</v>
      </c>
      <c r="H7" s="75">
        <v>10</v>
      </c>
      <c r="I7" s="75">
        <v>3</v>
      </c>
      <c r="J7" s="75">
        <v>11</v>
      </c>
      <c r="K7" s="75">
        <v>6</v>
      </c>
      <c r="L7" s="75">
        <v>6</v>
      </c>
      <c r="M7" s="75">
        <v>3</v>
      </c>
      <c r="N7" s="75">
        <v>5</v>
      </c>
      <c r="O7" s="75"/>
      <c r="P7" s="75"/>
      <c r="Q7" s="75"/>
      <c r="R7" s="75"/>
      <c r="S7" s="75"/>
      <c r="T7" s="75"/>
      <c r="U7" s="75"/>
      <c r="V7" s="75"/>
      <c r="W7" s="75"/>
      <c r="X7" s="75"/>
      <c r="Y7" s="75"/>
      <c r="Z7" s="75"/>
      <c r="AA7" s="75"/>
      <c r="AB7" s="75"/>
      <c r="AC7" s="75"/>
      <c r="AD7" s="75"/>
      <c r="AE7" s="75"/>
      <c r="AF7" s="75"/>
      <c r="AG7" s="76">
        <f t="shared" si="0"/>
        <v>82</v>
      </c>
      <c r="AH7" s="76" cm="1">
        <f t="array" ref="AH7">IF($A7="","",SUMPRODUCT((ROW(Beheer!$B$7:$B$36)-ROW(Beheer!$B$7)+1&lt;=Beheer!$C$4)*IFERROR(Beheer!$B$7:$B$36*1,0)))</f>
        <v>130</v>
      </c>
      <c r="AI7" s="75">
        <f t="shared" si="1"/>
        <v>81.999870000000001</v>
      </c>
    </row>
    <row r="8" spans="1:35" ht="24" customHeight="1" x14ac:dyDescent="0.45">
      <c r="A8" s="125" t="str" cm="1">
        <f t="array" ref="A8">IFERROR(IF(INDEX(Beheer!$F$7:$F$66,ROWS($A$2:A8))="","",INDEX(Beheer!$F$7:$F$66,ROWS($A$2:A8))),"")</f>
        <v>De Wafelijzers</v>
      </c>
      <c r="B8" s="126">
        <v>25</v>
      </c>
      <c r="C8" s="127">
        <v>4</v>
      </c>
      <c r="D8" s="127">
        <v>8</v>
      </c>
      <c r="E8" s="127">
        <v>4</v>
      </c>
      <c r="F8" s="127">
        <v>18</v>
      </c>
      <c r="G8" s="127">
        <v>1</v>
      </c>
      <c r="H8" s="127">
        <v>5</v>
      </c>
      <c r="I8" s="127">
        <v>3</v>
      </c>
      <c r="J8" s="127">
        <v>12</v>
      </c>
      <c r="K8" s="127">
        <v>2</v>
      </c>
      <c r="L8" s="127">
        <v>2</v>
      </c>
      <c r="M8" s="127">
        <v>1</v>
      </c>
      <c r="N8" s="127">
        <v>8</v>
      </c>
      <c r="O8" s="127"/>
      <c r="P8" s="127"/>
      <c r="Q8" s="127"/>
      <c r="R8" s="127"/>
      <c r="S8" s="127"/>
      <c r="T8" s="127"/>
      <c r="U8" s="127"/>
      <c r="V8" s="127"/>
      <c r="W8" s="127"/>
      <c r="X8" s="127"/>
      <c r="Y8" s="127"/>
      <c r="Z8" s="127"/>
      <c r="AA8" s="127"/>
      <c r="AB8" s="127"/>
      <c r="AC8" s="127"/>
      <c r="AD8" s="127"/>
      <c r="AE8" s="127"/>
      <c r="AF8" s="127"/>
      <c r="AG8" s="128">
        <f t="shared" si="0"/>
        <v>68</v>
      </c>
      <c r="AH8" s="128" cm="1">
        <f t="array" ref="AH8">IF($A8="","",SUMPRODUCT((ROW(Beheer!$B$7:$B$36)-ROW(Beheer!$B$7)+1&lt;=Beheer!$C$4)*IFERROR(Beheer!$B$7:$B$36*1,0)))</f>
        <v>130</v>
      </c>
      <c r="AI8" s="127">
        <f t="shared" si="1"/>
        <v>67.999750000000006</v>
      </c>
    </row>
    <row r="9" spans="1:35" ht="24" customHeight="1" x14ac:dyDescent="0.45">
      <c r="A9" s="74" t="str" cm="1">
        <f t="array" ref="A9">IFERROR(IF(INDEX(Beheer!$F$7:$F$66,ROWS($A$2:A9))="","",INDEX(Beheer!$F$7:$F$66,ROWS($A$2:A9))),"")</f>
        <v>Amai Zeg!</v>
      </c>
      <c r="B9" s="122">
        <v>6</v>
      </c>
      <c r="C9" s="75">
        <v>10</v>
      </c>
      <c r="D9" s="75">
        <v>8</v>
      </c>
      <c r="E9" s="75">
        <v>8</v>
      </c>
      <c r="F9" s="75">
        <v>13</v>
      </c>
      <c r="G9" s="75">
        <v>3</v>
      </c>
      <c r="H9" s="75">
        <v>3</v>
      </c>
      <c r="I9" s="75">
        <v>2</v>
      </c>
      <c r="J9" s="75">
        <v>7</v>
      </c>
      <c r="K9" s="75">
        <v>4</v>
      </c>
      <c r="L9" s="75">
        <v>3</v>
      </c>
      <c r="M9" s="75">
        <v>5</v>
      </c>
      <c r="N9" s="75">
        <v>10</v>
      </c>
      <c r="O9" s="75"/>
      <c r="P9" s="75"/>
      <c r="Q9" s="75"/>
      <c r="R9" s="75"/>
      <c r="S9" s="75"/>
      <c r="T9" s="75"/>
      <c r="U9" s="75"/>
      <c r="V9" s="75"/>
      <c r="W9" s="75"/>
      <c r="X9" s="75"/>
      <c r="Y9" s="75"/>
      <c r="Z9" s="75"/>
      <c r="AA9" s="75"/>
      <c r="AB9" s="75"/>
      <c r="AC9" s="75"/>
      <c r="AD9" s="75"/>
      <c r="AE9" s="75"/>
      <c r="AF9" s="75"/>
      <c r="AG9" s="76">
        <f t="shared" si="0"/>
        <v>76</v>
      </c>
      <c r="AH9" s="76" cm="1">
        <f t="array" ref="AH9">IF($A9="","",SUMPRODUCT((ROW(Beheer!$B$7:$B$36)-ROW(Beheer!$B$7)+1&lt;=Beheer!$C$4)*IFERROR(Beheer!$B$7:$B$36*1,0)))</f>
        <v>130</v>
      </c>
      <c r="AI9" s="75">
        <f t="shared" si="1"/>
        <v>75.999939999999995</v>
      </c>
    </row>
    <row r="10" spans="1:35" ht="24" customHeight="1" x14ac:dyDescent="0.45">
      <c r="A10" s="125" t="str" cm="1">
        <f t="array" ref="A10">IFERROR(IF(INDEX(Beheer!$F$7:$F$66,ROWS($A$2:A10))="","",INDEX(Beheer!$F$7:$F$66,ROWS($A$2:A10))),"")</f>
        <v>De Choco Prinsen</v>
      </c>
      <c r="B10" s="126">
        <v>19</v>
      </c>
      <c r="C10" s="127">
        <v>9</v>
      </c>
      <c r="D10" s="127">
        <v>10</v>
      </c>
      <c r="E10" s="127">
        <v>1</v>
      </c>
      <c r="F10" s="127">
        <v>4</v>
      </c>
      <c r="G10" s="127">
        <v>9</v>
      </c>
      <c r="H10" s="127">
        <v>2</v>
      </c>
      <c r="I10" s="127">
        <v>5</v>
      </c>
      <c r="J10" s="127">
        <v>5</v>
      </c>
      <c r="K10" s="127">
        <v>4</v>
      </c>
      <c r="L10" s="127">
        <v>6</v>
      </c>
      <c r="M10" s="127">
        <v>4</v>
      </c>
      <c r="N10" s="127">
        <v>7</v>
      </c>
      <c r="O10" s="127"/>
      <c r="P10" s="127"/>
      <c r="Q10" s="127"/>
      <c r="R10" s="127"/>
      <c r="S10" s="127"/>
      <c r="T10" s="127"/>
      <c r="U10" s="127"/>
      <c r="V10" s="127"/>
      <c r="W10" s="127"/>
      <c r="X10" s="127"/>
      <c r="Y10" s="127"/>
      <c r="Z10" s="127"/>
      <c r="AA10" s="127"/>
      <c r="AB10" s="127"/>
      <c r="AC10" s="127"/>
      <c r="AD10" s="127"/>
      <c r="AE10" s="127"/>
      <c r="AF10" s="127"/>
      <c r="AG10" s="128">
        <f t="shared" si="0"/>
        <v>66</v>
      </c>
      <c r="AH10" s="128" cm="1">
        <f t="array" ref="AH10">IF($A10="","",SUMPRODUCT((ROW(Beheer!$B$7:$B$36)-ROW(Beheer!$B$7)+1&lt;=Beheer!$C$4)*IFERROR(Beheer!$B$7:$B$36*1,0)))</f>
        <v>130</v>
      </c>
      <c r="AI10" s="127">
        <f t="shared" si="1"/>
        <v>65.999809999999997</v>
      </c>
    </row>
    <row r="11" spans="1:35" ht="24" customHeight="1" x14ac:dyDescent="0.45">
      <c r="A11" s="74" t="str" cm="1">
        <f t="array" ref="A11">IFERROR(IF(INDEX(Beheer!$F$7:$F$66,ROWS($A$2:A11))="","",INDEX(Beheer!$F$7:$F$66,ROWS($A$2:A11))),"")</f>
        <v>Smoutebollen FC</v>
      </c>
      <c r="B11" s="122">
        <v>11</v>
      </c>
      <c r="C11" s="75">
        <v>9</v>
      </c>
      <c r="D11" s="75">
        <v>10</v>
      </c>
      <c r="E11" s="75">
        <v>5</v>
      </c>
      <c r="F11" s="75">
        <v>1</v>
      </c>
      <c r="G11" s="75">
        <v>10</v>
      </c>
      <c r="H11" s="75">
        <v>3</v>
      </c>
      <c r="I11" s="75">
        <v>9</v>
      </c>
      <c r="J11" s="75">
        <v>9</v>
      </c>
      <c r="K11" s="75">
        <v>9</v>
      </c>
      <c r="L11" s="75">
        <v>3</v>
      </c>
      <c r="M11" s="75">
        <v>2</v>
      </c>
      <c r="N11" s="75">
        <v>4</v>
      </c>
      <c r="O11" s="75"/>
      <c r="P11" s="75"/>
      <c r="Q11" s="75"/>
      <c r="R11" s="75"/>
      <c r="S11" s="75"/>
      <c r="T11" s="75"/>
      <c r="U11" s="75"/>
      <c r="V11" s="75"/>
      <c r="W11" s="75"/>
      <c r="X11" s="75"/>
      <c r="Y11" s="75"/>
      <c r="Z11" s="75"/>
      <c r="AA11" s="75"/>
      <c r="AB11" s="75"/>
      <c r="AC11" s="75"/>
      <c r="AD11" s="75"/>
      <c r="AE11" s="75"/>
      <c r="AF11" s="75"/>
      <c r="AG11" s="76">
        <f t="shared" si="0"/>
        <v>74</v>
      </c>
      <c r="AH11" s="76" cm="1">
        <f t="array" ref="AH11">IF($A11="","",SUMPRODUCT((ROW(Beheer!$B$7:$B$36)-ROW(Beheer!$B$7)+1&lt;=Beheer!$C$4)*IFERROR(Beheer!$B$7:$B$36*1,0)))</f>
        <v>130</v>
      </c>
      <c r="AI11" s="75">
        <f t="shared" si="1"/>
        <v>73.999889999999994</v>
      </c>
    </row>
    <row r="12" spans="1:35" ht="24" customHeight="1" x14ac:dyDescent="0.45">
      <c r="A12" s="125" t="str" cm="1">
        <f t="array" ref="A12">IFERROR(IF(INDEX(Beheer!$F$7:$F$66,ROWS($A$2:A12))="","",INDEX(Beheer!$F$7:$F$66,ROWS($A$2:A12))),"")</f>
        <v>De Plezante Pintjes</v>
      </c>
      <c r="B12" s="126">
        <v>3</v>
      </c>
      <c r="C12" s="127">
        <v>7</v>
      </c>
      <c r="D12" s="127">
        <v>6</v>
      </c>
      <c r="E12" s="127">
        <v>3</v>
      </c>
      <c r="F12" s="127">
        <v>5</v>
      </c>
      <c r="G12" s="127">
        <v>10</v>
      </c>
      <c r="H12" s="127">
        <v>6</v>
      </c>
      <c r="I12" s="127">
        <v>10</v>
      </c>
      <c r="J12" s="127">
        <v>11</v>
      </c>
      <c r="K12" s="127">
        <v>3</v>
      </c>
      <c r="L12" s="127">
        <v>8</v>
      </c>
      <c r="M12" s="127">
        <v>3</v>
      </c>
      <c r="N12" s="127">
        <v>9</v>
      </c>
      <c r="O12" s="127"/>
      <c r="P12" s="127"/>
      <c r="Q12" s="127"/>
      <c r="R12" s="127"/>
      <c r="S12" s="127"/>
      <c r="T12" s="127"/>
      <c r="U12" s="127"/>
      <c r="V12" s="127"/>
      <c r="W12" s="127"/>
      <c r="X12" s="127"/>
      <c r="Y12" s="127"/>
      <c r="Z12" s="127"/>
      <c r="AA12" s="127"/>
      <c r="AB12" s="127"/>
      <c r="AC12" s="127"/>
      <c r="AD12" s="127"/>
      <c r="AE12" s="127"/>
      <c r="AF12" s="127"/>
      <c r="AG12" s="128">
        <f t="shared" si="0"/>
        <v>81</v>
      </c>
      <c r="AH12" s="128" cm="1">
        <f t="array" ref="AH12">IF($A12="","",SUMPRODUCT((ROW(Beheer!$B$7:$B$36)-ROW(Beheer!$B$7)+1&lt;=Beheer!$C$4)*IFERROR(Beheer!$B$7:$B$36*1,0)))</f>
        <v>130</v>
      </c>
      <c r="AI12" s="127">
        <f t="shared" si="1"/>
        <v>80.999970000000005</v>
      </c>
    </row>
    <row r="13" spans="1:35" ht="24" customHeight="1" x14ac:dyDescent="0.45">
      <c r="A13" s="74" t="str" cm="1">
        <f t="array" ref="A13">IFERROR(IF(INDEX(Beheer!$F$7:$F$66,ROWS($A$2:A13))="","",INDEX(Beheer!$F$7:$F$66,ROWS($A$2:A13))),"")</f>
        <v>Schele Vanthilt</v>
      </c>
      <c r="B13" s="122">
        <v>15</v>
      </c>
      <c r="C13" s="75">
        <v>10</v>
      </c>
      <c r="D13" s="75">
        <v>8</v>
      </c>
      <c r="E13" s="75">
        <v>1</v>
      </c>
      <c r="F13" s="75">
        <v>20</v>
      </c>
      <c r="G13" s="75">
        <v>4</v>
      </c>
      <c r="H13" s="75">
        <v>7</v>
      </c>
      <c r="I13" s="75">
        <v>7</v>
      </c>
      <c r="J13" s="75">
        <v>13</v>
      </c>
      <c r="K13" s="75">
        <v>10</v>
      </c>
      <c r="L13" s="75">
        <v>8</v>
      </c>
      <c r="M13" s="75">
        <v>1</v>
      </c>
      <c r="N13" s="75">
        <v>7</v>
      </c>
      <c r="O13" s="75"/>
      <c r="P13" s="75"/>
      <c r="Q13" s="75"/>
      <c r="R13" s="75"/>
      <c r="S13" s="75"/>
      <c r="T13" s="75"/>
      <c r="U13" s="75"/>
      <c r="V13" s="75"/>
      <c r="W13" s="75"/>
      <c r="X13" s="75"/>
      <c r="Y13" s="75"/>
      <c r="Z13" s="75"/>
      <c r="AA13" s="75"/>
      <c r="AB13" s="75"/>
      <c r="AC13" s="75"/>
      <c r="AD13" s="75"/>
      <c r="AE13" s="75"/>
      <c r="AF13" s="75"/>
      <c r="AG13" s="76">
        <f t="shared" si="0"/>
        <v>96</v>
      </c>
      <c r="AH13" s="76" cm="1">
        <f t="array" ref="AH13">IF($A13="","",SUMPRODUCT((ROW(Beheer!$B$7:$B$36)-ROW(Beheer!$B$7)+1&lt;=Beheer!$C$4)*IFERROR(Beheer!$B$7:$B$36*1,0)))</f>
        <v>130</v>
      </c>
      <c r="AI13" s="75">
        <f t="shared" si="1"/>
        <v>95.999849999999995</v>
      </c>
    </row>
    <row r="14" spans="1:35" ht="24" customHeight="1" x14ac:dyDescent="0.45">
      <c r="A14" s="125" t="str" cm="1">
        <f t="array" ref="A14">IFERROR(IF(INDEX(Beheer!$F$7:$F$66,ROWS($A$2:A14))="","",INDEX(Beheer!$F$7:$F$66,ROWS($A$2:A14))),"")</f>
        <v>De Kletskoppen</v>
      </c>
      <c r="B14" s="126">
        <v>24</v>
      </c>
      <c r="C14" s="127">
        <v>1</v>
      </c>
      <c r="D14" s="127">
        <v>8</v>
      </c>
      <c r="E14" s="127">
        <v>6</v>
      </c>
      <c r="F14" s="127">
        <v>5</v>
      </c>
      <c r="G14" s="127">
        <v>9</v>
      </c>
      <c r="H14" s="127">
        <v>4</v>
      </c>
      <c r="I14" s="127">
        <v>6</v>
      </c>
      <c r="J14" s="127">
        <v>8</v>
      </c>
      <c r="K14" s="127">
        <v>5</v>
      </c>
      <c r="L14" s="127">
        <v>10</v>
      </c>
      <c r="M14" s="127">
        <v>4</v>
      </c>
      <c r="N14" s="127">
        <v>6</v>
      </c>
      <c r="O14" s="127"/>
      <c r="P14" s="127"/>
      <c r="Q14" s="127"/>
      <c r="R14" s="127"/>
      <c r="S14" s="127"/>
      <c r="T14" s="127"/>
      <c r="U14" s="127"/>
      <c r="V14" s="127"/>
      <c r="W14" s="127"/>
      <c r="X14" s="127"/>
      <c r="Y14" s="127"/>
      <c r="Z14" s="127"/>
      <c r="AA14" s="127"/>
      <c r="AB14" s="127"/>
      <c r="AC14" s="127"/>
      <c r="AD14" s="127"/>
      <c r="AE14" s="127"/>
      <c r="AF14" s="127"/>
      <c r="AG14" s="128">
        <f t="shared" si="0"/>
        <v>72</v>
      </c>
      <c r="AH14" s="128" cm="1">
        <f t="array" ref="AH14">IF($A14="","",SUMPRODUCT((ROW(Beheer!$B$7:$B$36)-ROW(Beheer!$B$7)+1&lt;=Beheer!$C$4)*IFERROR(Beheer!$B$7:$B$36*1,0)))</f>
        <v>130</v>
      </c>
      <c r="AI14" s="127">
        <f t="shared" si="1"/>
        <v>71.999759999999995</v>
      </c>
    </row>
    <row r="15" spans="1:35" ht="24" customHeight="1" x14ac:dyDescent="0.45">
      <c r="A15" s="74" t="str" cm="1">
        <f t="array" ref="A15">IFERROR(IF(INDEX(Beheer!$F$7:$F$66,ROWS($A$2:A15))="","",INDEX(Beheer!$F$7:$F$66,ROWS($A$2:A15))),"")</f>
        <v>Boeren met Verstand</v>
      </c>
      <c r="B15" s="122">
        <v>8</v>
      </c>
      <c r="C15" s="75">
        <v>8</v>
      </c>
      <c r="D15" s="75">
        <v>5</v>
      </c>
      <c r="E15" s="75">
        <v>3</v>
      </c>
      <c r="F15" s="75">
        <v>18</v>
      </c>
      <c r="G15" s="75">
        <v>8</v>
      </c>
      <c r="H15" s="75">
        <v>3</v>
      </c>
      <c r="I15" s="75">
        <v>8</v>
      </c>
      <c r="J15" s="75">
        <v>15</v>
      </c>
      <c r="K15" s="75">
        <v>9</v>
      </c>
      <c r="L15" s="75">
        <v>4</v>
      </c>
      <c r="M15" s="75">
        <v>1</v>
      </c>
      <c r="N15" s="75">
        <v>6</v>
      </c>
      <c r="O15" s="75"/>
      <c r="P15" s="75"/>
      <c r="Q15" s="75"/>
      <c r="R15" s="75"/>
      <c r="S15" s="75"/>
      <c r="T15" s="75"/>
      <c r="U15" s="75"/>
      <c r="V15" s="75"/>
      <c r="W15" s="75"/>
      <c r="X15" s="75"/>
      <c r="Y15" s="75"/>
      <c r="Z15" s="75"/>
      <c r="AA15" s="75"/>
      <c r="AB15" s="75"/>
      <c r="AC15" s="75"/>
      <c r="AD15" s="75"/>
      <c r="AE15" s="75"/>
      <c r="AF15" s="75"/>
      <c r="AG15" s="76">
        <f t="shared" si="0"/>
        <v>88</v>
      </c>
      <c r="AH15" s="76" cm="1">
        <f t="array" ref="AH15">IF($A15="","",SUMPRODUCT((ROW(Beheer!$B$7:$B$36)-ROW(Beheer!$B$7)+1&lt;=Beheer!$C$4)*IFERROR(Beheer!$B$7:$B$36*1,0)))</f>
        <v>130</v>
      </c>
      <c r="AI15" s="75">
        <f t="shared" si="1"/>
        <v>87.999920000000003</v>
      </c>
    </row>
    <row r="16" spans="1:35" ht="24" customHeight="1" x14ac:dyDescent="0.45">
      <c r="A16" s="125" t="str" cm="1">
        <f t="array" ref="A16">IFERROR(IF(INDEX(Beheer!$F$7:$F$66,ROWS($A$2:A16))="","",INDEX(Beheer!$F$7:$F$66,ROWS($A$2:A16))),"")</f>
        <v>De Goe Goesting</v>
      </c>
      <c r="B16" s="126">
        <v>20</v>
      </c>
      <c r="C16" s="127">
        <v>1</v>
      </c>
      <c r="D16" s="127">
        <v>8</v>
      </c>
      <c r="E16" s="127">
        <v>7</v>
      </c>
      <c r="F16" s="127">
        <v>10</v>
      </c>
      <c r="G16" s="127">
        <v>9</v>
      </c>
      <c r="H16" s="127">
        <v>9</v>
      </c>
      <c r="I16" s="127">
        <v>4</v>
      </c>
      <c r="J16" s="127">
        <v>7</v>
      </c>
      <c r="K16" s="127">
        <v>8</v>
      </c>
      <c r="L16" s="127">
        <v>7</v>
      </c>
      <c r="M16" s="127">
        <v>1</v>
      </c>
      <c r="N16" s="127">
        <v>9</v>
      </c>
      <c r="O16" s="127"/>
      <c r="P16" s="127"/>
      <c r="Q16" s="127"/>
      <c r="R16" s="127"/>
      <c r="S16" s="127"/>
      <c r="T16" s="127"/>
      <c r="U16" s="127"/>
      <c r="V16" s="127"/>
      <c r="W16" s="127"/>
      <c r="X16" s="127"/>
      <c r="Y16" s="127"/>
      <c r="Z16" s="127"/>
      <c r="AA16" s="127"/>
      <c r="AB16" s="127"/>
      <c r="AC16" s="127"/>
      <c r="AD16" s="127"/>
      <c r="AE16" s="127"/>
      <c r="AF16" s="127"/>
      <c r="AG16" s="128">
        <f t="shared" si="0"/>
        <v>80</v>
      </c>
      <c r="AH16" s="128" cm="1">
        <f t="array" ref="AH16">IF($A16="","",SUMPRODUCT((ROW(Beheer!$B$7:$B$36)-ROW(Beheer!$B$7)+1&lt;=Beheer!$C$4)*IFERROR(Beheer!$B$7:$B$36*1,0)))</f>
        <v>130</v>
      </c>
      <c r="AI16" s="127">
        <f t="shared" si="1"/>
        <v>79.999799999999993</v>
      </c>
    </row>
    <row r="17" spans="1:35" ht="24" customHeight="1" x14ac:dyDescent="0.45">
      <c r="A17" s="74" t="str" cm="1">
        <f t="array" ref="A17">IFERROR(IF(INDEX(Beheer!$F$7:$F$66,ROWS($A$2:A17))="","",INDEX(Beheer!$F$7:$F$66,ROWS($A$2:A17))),"")</f>
        <v>Jommeke's Wreker</v>
      </c>
      <c r="B17" s="122">
        <v>2</v>
      </c>
      <c r="C17" s="75">
        <v>6</v>
      </c>
      <c r="D17" s="75">
        <v>3</v>
      </c>
      <c r="E17" s="75">
        <v>4</v>
      </c>
      <c r="F17" s="75">
        <v>8</v>
      </c>
      <c r="G17" s="75">
        <v>6</v>
      </c>
      <c r="H17" s="75">
        <v>9</v>
      </c>
      <c r="I17" s="75">
        <v>3</v>
      </c>
      <c r="J17" s="75">
        <v>2</v>
      </c>
      <c r="K17" s="75">
        <v>1</v>
      </c>
      <c r="L17" s="75">
        <v>1</v>
      </c>
      <c r="M17" s="75">
        <v>2</v>
      </c>
      <c r="N17" s="75">
        <v>4</v>
      </c>
      <c r="O17" s="75"/>
      <c r="P17" s="75"/>
      <c r="Q17" s="75"/>
      <c r="R17" s="75"/>
      <c r="S17" s="75"/>
      <c r="T17" s="75"/>
      <c r="U17" s="75"/>
      <c r="V17" s="75"/>
      <c r="W17" s="75"/>
      <c r="X17" s="75"/>
      <c r="Y17" s="75"/>
      <c r="Z17" s="75"/>
      <c r="AA17" s="75"/>
      <c r="AB17" s="75"/>
      <c r="AC17" s="75"/>
      <c r="AD17" s="75"/>
      <c r="AE17" s="75"/>
      <c r="AF17" s="75"/>
      <c r="AG17" s="76">
        <f t="shared" si="0"/>
        <v>49</v>
      </c>
      <c r="AH17" s="76" cm="1">
        <f t="array" ref="AH17">IF($A17="","",SUMPRODUCT((ROW(Beheer!$B$7:$B$36)-ROW(Beheer!$B$7)+1&lt;=Beheer!$C$4)*IFERROR(Beheer!$B$7:$B$36*1,0)))</f>
        <v>130</v>
      </c>
      <c r="AI17" s="75">
        <f t="shared" si="1"/>
        <v>48.999980000000001</v>
      </c>
    </row>
    <row r="18" spans="1:35" ht="24" customHeight="1" x14ac:dyDescent="0.45">
      <c r="A18" s="125" t="str" cm="1">
        <f t="array" ref="A18">IFERROR(IF(INDEX(Beheer!$F$7:$F$66,ROWS($A$2:A18))="","",INDEX(Beheer!$F$7:$F$66,ROWS($A$2:A18))),"")</f>
        <v>De Stoute Schoenen</v>
      </c>
      <c r="B18" s="126">
        <v>14</v>
      </c>
      <c r="C18" s="127">
        <v>8</v>
      </c>
      <c r="D18" s="127">
        <v>9</v>
      </c>
      <c r="E18" s="127">
        <v>5</v>
      </c>
      <c r="F18" s="127">
        <v>20</v>
      </c>
      <c r="G18" s="127">
        <v>3</v>
      </c>
      <c r="H18" s="127">
        <v>8</v>
      </c>
      <c r="I18" s="127">
        <v>7</v>
      </c>
      <c r="J18" s="127">
        <v>13</v>
      </c>
      <c r="K18" s="127">
        <v>2</v>
      </c>
      <c r="L18" s="127">
        <v>2</v>
      </c>
      <c r="M18" s="127">
        <v>1</v>
      </c>
      <c r="N18" s="127">
        <v>4</v>
      </c>
      <c r="O18" s="127"/>
      <c r="P18" s="127"/>
      <c r="Q18" s="127"/>
      <c r="R18" s="127"/>
      <c r="S18" s="127"/>
      <c r="T18" s="127"/>
      <c r="U18" s="127"/>
      <c r="V18" s="127"/>
      <c r="W18" s="127"/>
      <c r="X18" s="127"/>
      <c r="Y18" s="127"/>
      <c r="Z18" s="127"/>
      <c r="AA18" s="127"/>
      <c r="AB18" s="127"/>
      <c r="AC18" s="127"/>
      <c r="AD18" s="127"/>
      <c r="AE18" s="127"/>
      <c r="AF18" s="127"/>
      <c r="AG18" s="128">
        <f t="shared" si="0"/>
        <v>82</v>
      </c>
      <c r="AH18" s="128" cm="1">
        <f t="array" ref="AH18">IF($A18="","",SUMPRODUCT((ROW(Beheer!$B$7:$B$36)-ROW(Beheer!$B$7)+1&lt;=Beheer!$C$4)*IFERROR(Beheer!$B$7:$B$36*1,0)))</f>
        <v>130</v>
      </c>
      <c r="AI18" s="127">
        <f t="shared" si="1"/>
        <v>81.999859999999998</v>
      </c>
    </row>
    <row r="19" spans="1:35" ht="24" customHeight="1" x14ac:dyDescent="0.45">
      <c r="A19" s="74" t="str" cm="1">
        <f t="array" ref="A19">IFERROR(IF(INDEX(Beheer!$F$7:$F$66,ROWS($A$2:A19))="","",INDEX(Beheer!$F$7:$F$66,ROWS($A$2:A19))),"")</f>
        <v>Pataten met Stoofvlees</v>
      </c>
      <c r="B19" s="122">
        <v>7</v>
      </c>
      <c r="C19" s="75">
        <v>10</v>
      </c>
      <c r="D19" s="75">
        <v>10</v>
      </c>
      <c r="E19" s="75">
        <v>1</v>
      </c>
      <c r="F19" s="75">
        <v>11</v>
      </c>
      <c r="G19" s="75">
        <v>4</v>
      </c>
      <c r="H19" s="75">
        <v>2</v>
      </c>
      <c r="I19" s="75">
        <v>4</v>
      </c>
      <c r="J19" s="75">
        <v>10</v>
      </c>
      <c r="K19" s="75">
        <v>2</v>
      </c>
      <c r="L19" s="75">
        <v>9</v>
      </c>
      <c r="M19" s="75">
        <v>4</v>
      </c>
      <c r="N19" s="75">
        <v>7</v>
      </c>
      <c r="O19" s="75"/>
      <c r="P19" s="75"/>
      <c r="Q19" s="75"/>
      <c r="R19" s="75"/>
      <c r="S19" s="75"/>
      <c r="T19" s="75"/>
      <c r="U19" s="75"/>
      <c r="V19" s="75"/>
      <c r="W19" s="75"/>
      <c r="X19" s="75"/>
      <c r="Y19" s="75"/>
      <c r="Z19" s="75"/>
      <c r="AA19" s="75"/>
      <c r="AB19" s="75"/>
      <c r="AC19" s="75"/>
      <c r="AD19" s="75"/>
      <c r="AE19" s="75"/>
      <c r="AF19" s="75"/>
      <c r="AG19" s="76">
        <f t="shared" si="0"/>
        <v>74</v>
      </c>
      <c r="AH19" s="76" cm="1">
        <f t="array" ref="AH19">IF($A19="","",SUMPRODUCT((ROW(Beheer!$B$7:$B$36)-ROW(Beheer!$B$7)+1&lt;=Beheer!$C$4)*IFERROR(Beheer!$B$7:$B$36*1,0)))</f>
        <v>130</v>
      </c>
      <c r="AI19" s="75">
        <f t="shared" si="1"/>
        <v>73.999930000000006</v>
      </c>
    </row>
    <row r="20" spans="1:35" ht="24" customHeight="1" x14ac:dyDescent="0.45">
      <c r="A20" s="125" t="str" cm="1">
        <f t="array" ref="A20">IFERROR(IF(INDEX(Beheer!$F$7:$F$66,ROWS($A$2:A20))="","",INDEX(Beheer!$F$7:$F$66,ROWS($A$2:A20))),"")</f>
        <v>De Zatte Garnaal</v>
      </c>
      <c r="B20" s="126">
        <v>23</v>
      </c>
      <c r="C20" s="127">
        <v>7</v>
      </c>
      <c r="D20" s="127">
        <v>7</v>
      </c>
      <c r="E20" s="127">
        <v>4</v>
      </c>
      <c r="F20" s="127">
        <v>12</v>
      </c>
      <c r="G20" s="127">
        <v>9</v>
      </c>
      <c r="H20" s="127">
        <v>3</v>
      </c>
      <c r="I20" s="127">
        <v>7</v>
      </c>
      <c r="J20" s="127">
        <v>10</v>
      </c>
      <c r="K20" s="127">
        <v>8</v>
      </c>
      <c r="L20" s="127">
        <v>3</v>
      </c>
      <c r="M20" s="127">
        <v>4</v>
      </c>
      <c r="N20" s="127">
        <v>5</v>
      </c>
      <c r="O20" s="127"/>
      <c r="P20" s="127"/>
      <c r="Q20" s="127"/>
      <c r="R20" s="127"/>
      <c r="S20" s="127"/>
      <c r="T20" s="127"/>
      <c r="U20" s="127"/>
      <c r="V20" s="127"/>
      <c r="W20" s="127"/>
      <c r="X20" s="127"/>
      <c r="Y20" s="127"/>
      <c r="Z20" s="127"/>
      <c r="AA20" s="127"/>
      <c r="AB20" s="127"/>
      <c r="AC20" s="127"/>
      <c r="AD20" s="127"/>
      <c r="AE20" s="127"/>
      <c r="AF20" s="127"/>
      <c r="AG20" s="128">
        <f t="shared" si="0"/>
        <v>79</v>
      </c>
      <c r="AH20" s="128" cm="1">
        <f t="array" ref="AH20">IF($A20="","",SUMPRODUCT((ROW(Beheer!$B$7:$B$36)-ROW(Beheer!$B$7)+1&lt;=Beheer!$C$4)*IFERROR(Beheer!$B$7:$B$36*1,0)))</f>
        <v>130</v>
      </c>
      <c r="AI20" s="127">
        <f t="shared" si="1"/>
        <v>78.999769999999998</v>
      </c>
    </row>
    <row r="21" spans="1:35" ht="24" customHeight="1" x14ac:dyDescent="0.45">
      <c r="A21" s="74" t="str" cm="1">
        <f t="array" ref="A21">IFERROR(IF(INDEX(Beheer!$F$7:$F$66,ROWS($A$2:A21))="","",INDEX(Beheer!$F$7:$F$66,ROWS($A$2:A21))),"")</f>
        <v>Kieken zonder Kop</v>
      </c>
      <c r="B21" s="122">
        <v>10</v>
      </c>
      <c r="C21" s="75">
        <v>7</v>
      </c>
      <c r="D21" s="75">
        <v>8</v>
      </c>
      <c r="E21" s="75">
        <v>5</v>
      </c>
      <c r="F21" s="75">
        <v>6</v>
      </c>
      <c r="G21" s="75">
        <v>10</v>
      </c>
      <c r="H21" s="75">
        <v>8</v>
      </c>
      <c r="I21" s="75">
        <v>2</v>
      </c>
      <c r="J21" s="75">
        <v>4</v>
      </c>
      <c r="K21" s="75">
        <v>5</v>
      </c>
      <c r="L21" s="75">
        <v>5</v>
      </c>
      <c r="M21" s="75">
        <v>5</v>
      </c>
      <c r="N21" s="75">
        <v>2</v>
      </c>
      <c r="O21" s="75"/>
      <c r="P21" s="75"/>
      <c r="Q21" s="75"/>
      <c r="R21" s="75"/>
      <c r="S21" s="75"/>
      <c r="T21" s="75"/>
      <c r="U21" s="75"/>
      <c r="V21" s="75"/>
      <c r="W21" s="75"/>
      <c r="X21" s="75"/>
      <c r="Y21" s="75"/>
      <c r="Z21" s="75"/>
      <c r="AA21" s="75"/>
      <c r="AB21" s="75"/>
      <c r="AC21" s="75"/>
      <c r="AD21" s="75"/>
      <c r="AE21" s="75"/>
      <c r="AF21" s="75"/>
      <c r="AG21" s="76">
        <f t="shared" si="0"/>
        <v>67</v>
      </c>
      <c r="AH21" s="76" cm="1">
        <f t="array" ref="AH21">IF($A21="","",SUMPRODUCT((ROW(Beheer!$B$7:$B$36)-ROW(Beheer!$B$7)+1&lt;=Beheer!$C$4)*IFERROR(Beheer!$B$7:$B$36*1,0)))</f>
        <v>130</v>
      </c>
      <c r="AI21" s="75">
        <f t="shared" si="1"/>
        <v>66.999899999999997</v>
      </c>
    </row>
    <row r="22" spans="1:35" ht="24" customHeight="1" x14ac:dyDescent="0.45">
      <c r="A22" s="125" t="str" cm="1">
        <f t="array" ref="A22">IFERROR(IF(INDEX(Beheer!$F$7:$F$66,ROWS($A$2:A22))="","",INDEX(Beheer!$F$7:$F$66,ROWS($A$2:A22))),"")</f>
        <v>De Madammen</v>
      </c>
      <c r="B22" s="126">
        <v>18</v>
      </c>
      <c r="C22" s="127">
        <v>6</v>
      </c>
      <c r="D22" s="127">
        <v>3</v>
      </c>
      <c r="E22" s="127">
        <v>7</v>
      </c>
      <c r="F22" s="127">
        <v>6</v>
      </c>
      <c r="G22" s="127">
        <v>10</v>
      </c>
      <c r="H22" s="127">
        <v>5</v>
      </c>
      <c r="I22" s="127">
        <v>6</v>
      </c>
      <c r="J22" s="127">
        <v>7</v>
      </c>
      <c r="K22" s="127">
        <v>5</v>
      </c>
      <c r="L22" s="127">
        <v>1</v>
      </c>
      <c r="M22" s="127">
        <v>1</v>
      </c>
      <c r="N22" s="127">
        <v>5</v>
      </c>
      <c r="O22" s="127"/>
      <c r="P22" s="127"/>
      <c r="Q22" s="127"/>
      <c r="R22" s="127"/>
      <c r="S22" s="127"/>
      <c r="T22" s="127"/>
      <c r="U22" s="127"/>
      <c r="V22" s="127"/>
      <c r="W22" s="127"/>
      <c r="X22" s="127"/>
      <c r="Y22" s="127"/>
      <c r="Z22" s="127"/>
      <c r="AA22" s="127"/>
      <c r="AB22" s="127"/>
      <c r="AC22" s="127"/>
      <c r="AD22" s="127"/>
      <c r="AE22" s="127"/>
      <c r="AF22" s="127"/>
      <c r="AG22" s="128">
        <f t="shared" si="0"/>
        <v>62</v>
      </c>
      <c r="AH22" s="128" cm="1">
        <f t="array" ref="AH22">IF($A22="","",SUMPRODUCT((ROW(Beheer!$B$7:$B$36)-ROW(Beheer!$B$7)+1&lt;=Beheer!$C$4)*IFERROR(Beheer!$B$7:$B$36*1,0)))</f>
        <v>130</v>
      </c>
      <c r="AI22" s="127">
        <f t="shared" si="1"/>
        <v>61.99982</v>
      </c>
    </row>
    <row r="23" spans="1:35" ht="24" customHeight="1" x14ac:dyDescent="0.45">
      <c r="A23" s="74" t="str" cm="1">
        <f t="array" ref="A23">IFERROR(IF(INDEX(Beheer!$F$7:$F$66,ROWS($A$2:A23))="","",INDEX(Beheer!$F$7:$F$66,ROWS($A$2:A23))),"")</f>
        <v>Gentse Feestneuzen</v>
      </c>
      <c r="B23" s="122">
        <v>5</v>
      </c>
      <c r="C23" s="75">
        <v>1</v>
      </c>
      <c r="D23" s="75">
        <v>1</v>
      </c>
      <c r="E23" s="75">
        <v>6</v>
      </c>
      <c r="F23" s="75">
        <v>2</v>
      </c>
      <c r="G23" s="75">
        <v>2</v>
      </c>
      <c r="H23" s="75">
        <v>7</v>
      </c>
      <c r="I23" s="75">
        <v>10</v>
      </c>
      <c r="J23" s="75">
        <v>6</v>
      </c>
      <c r="K23" s="75">
        <v>9</v>
      </c>
      <c r="L23" s="75">
        <v>8</v>
      </c>
      <c r="M23" s="75">
        <v>5</v>
      </c>
      <c r="N23" s="75">
        <v>1</v>
      </c>
      <c r="O23" s="75"/>
      <c r="P23" s="75"/>
      <c r="Q23" s="75"/>
      <c r="R23" s="75"/>
      <c r="S23" s="75"/>
      <c r="T23" s="75"/>
      <c r="U23" s="75"/>
      <c r="V23" s="75"/>
      <c r="W23" s="75"/>
      <c r="X23" s="75"/>
      <c r="Y23" s="75"/>
      <c r="Z23" s="75"/>
      <c r="AA23" s="75"/>
      <c r="AB23" s="75"/>
      <c r="AC23" s="75"/>
      <c r="AD23" s="75"/>
      <c r="AE23" s="75"/>
      <c r="AF23" s="75"/>
      <c r="AG23" s="76">
        <f t="shared" si="0"/>
        <v>58</v>
      </c>
      <c r="AH23" s="76" cm="1">
        <f t="array" ref="AH23">IF($A23="","",SUMPRODUCT((ROW(Beheer!$B$7:$B$36)-ROW(Beheer!$B$7)+1&lt;=Beheer!$C$4)*IFERROR(Beheer!$B$7:$B$36*1,0)))</f>
        <v>130</v>
      </c>
      <c r="AI23" s="75">
        <f t="shared" si="1"/>
        <v>57.999949999999998</v>
      </c>
    </row>
    <row r="24" spans="1:35" ht="24" customHeight="1" x14ac:dyDescent="0.45">
      <c r="A24" s="125" t="str" cm="1">
        <f t="array" ref="A24">IFERROR(IF(INDEX(Beheer!$F$7:$F$66,ROWS($A$2:A24))="","",INDEX(Beheer!$F$7:$F$66,ROWS($A$2:A24))),"")</f>
        <v>De Lambiek Liga</v>
      </c>
      <c r="B24" s="126">
        <v>21</v>
      </c>
      <c r="C24" s="127">
        <v>10</v>
      </c>
      <c r="D24" s="127">
        <v>2</v>
      </c>
      <c r="E24" s="127">
        <v>2</v>
      </c>
      <c r="F24" s="127">
        <v>7</v>
      </c>
      <c r="G24" s="127">
        <v>6</v>
      </c>
      <c r="H24" s="127">
        <v>9</v>
      </c>
      <c r="I24" s="127">
        <v>8</v>
      </c>
      <c r="J24" s="127">
        <v>13</v>
      </c>
      <c r="K24" s="127">
        <v>7</v>
      </c>
      <c r="L24" s="127">
        <v>6</v>
      </c>
      <c r="M24" s="127">
        <v>2</v>
      </c>
      <c r="N24" s="127">
        <v>7</v>
      </c>
      <c r="O24" s="127"/>
      <c r="P24" s="127"/>
      <c r="Q24" s="127"/>
      <c r="R24" s="127"/>
      <c r="S24" s="127"/>
      <c r="T24" s="127"/>
      <c r="U24" s="127"/>
      <c r="V24" s="127"/>
      <c r="W24" s="127"/>
      <c r="X24" s="127"/>
      <c r="Y24" s="127"/>
      <c r="Z24" s="127"/>
      <c r="AA24" s="127"/>
      <c r="AB24" s="127"/>
      <c r="AC24" s="127"/>
      <c r="AD24" s="127"/>
      <c r="AE24" s="127"/>
      <c r="AF24" s="127"/>
      <c r="AG24" s="128">
        <f t="shared" si="0"/>
        <v>79</v>
      </c>
      <c r="AH24" s="128" cm="1">
        <f t="array" ref="AH24">IF($A24="","",SUMPRODUCT((ROW(Beheer!$B$7:$B$36)-ROW(Beheer!$B$7)+1&lt;=Beheer!$C$4)*IFERROR(Beheer!$B$7:$B$36*1,0)))</f>
        <v>130</v>
      </c>
      <c r="AI24" s="127">
        <f t="shared" si="1"/>
        <v>78.999790000000004</v>
      </c>
    </row>
    <row r="25" spans="1:35" ht="24" customHeight="1" x14ac:dyDescent="0.45">
      <c r="A25" s="74" t="str" cm="1">
        <f t="array" ref="A25">IFERROR(IF(INDEX(Beheer!$F$7:$F$66,ROWS($A$2:A25))="","",INDEX(Beheer!$F$7:$F$66,ROWS($A$2:A25))),"")</f>
        <v>Kortrijkse Krollen</v>
      </c>
      <c r="B25" s="122">
        <v>12</v>
      </c>
      <c r="C25" s="75">
        <v>10</v>
      </c>
      <c r="D25" s="75">
        <v>9</v>
      </c>
      <c r="E25" s="75">
        <v>2</v>
      </c>
      <c r="F25" s="75">
        <v>6</v>
      </c>
      <c r="G25" s="75">
        <v>4</v>
      </c>
      <c r="H25" s="75">
        <v>6</v>
      </c>
      <c r="I25" s="75">
        <v>6</v>
      </c>
      <c r="J25" s="75">
        <v>2</v>
      </c>
      <c r="K25" s="75">
        <v>4</v>
      </c>
      <c r="L25" s="75">
        <v>7</v>
      </c>
      <c r="M25" s="75">
        <v>4</v>
      </c>
      <c r="N25" s="75">
        <v>6</v>
      </c>
      <c r="O25" s="75"/>
      <c r="P25" s="75"/>
      <c r="Q25" s="75"/>
      <c r="R25" s="75"/>
      <c r="S25" s="75"/>
      <c r="T25" s="75"/>
      <c r="U25" s="75"/>
      <c r="V25" s="75"/>
      <c r="W25" s="75"/>
      <c r="X25" s="75"/>
      <c r="Y25" s="75"/>
      <c r="Z25" s="75"/>
      <c r="AA25" s="75"/>
      <c r="AB25" s="75"/>
      <c r="AC25" s="75"/>
      <c r="AD25" s="75"/>
      <c r="AE25" s="75"/>
      <c r="AF25" s="75"/>
      <c r="AG25" s="76">
        <f t="shared" si="0"/>
        <v>66</v>
      </c>
      <c r="AH25" s="76" cm="1">
        <f t="array" ref="AH25">IF($A25="","",SUMPRODUCT((ROW(Beheer!$B$7:$B$36)-ROW(Beheer!$B$7)+1&lt;=Beheer!$C$4)*IFERROR(Beheer!$B$7:$B$36*1,0)))</f>
        <v>130</v>
      </c>
      <c r="AI25" s="75">
        <f t="shared" si="1"/>
        <v>65.999880000000005</v>
      </c>
    </row>
    <row r="26" spans="1:35" ht="24" customHeight="1" x14ac:dyDescent="0.45">
      <c r="A26" s="125" t="str" cm="1">
        <f t="array" ref="A26">IFERROR(IF(INDEX(Beheer!$F$7:$F$66,ROWS($A$2:A26))="","",INDEX(Beheer!$F$7:$F$66,ROWS($A$2:A26))),"")</f>
        <v>De Wijze Uilen</v>
      </c>
      <c r="B26" s="126">
        <v>16</v>
      </c>
      <c r="C26" s="127">
        <v>4</v>
      </c>
      <c r="D26" s="127">
        <v>7</v>
      </c>
      <c r="E26" s="127">
        <v>3</v>
      </c>
      <c r="F26" s="127">
        <v>13</v>
      </c>
      <c r="G26" s="127">
        <v>1</v>
      </c>
      <c r="H26" s="127">
        <v>10</v>
      </c>
      <c r="I26" s="127">
        <v>7</v>
      </c>
      <c r="J26" s="127">
        <v>8</v>
      </c>
      <c r="K26" s="127">
        <v>3</v>
      </c>
      <c r="L26" s="127">
        <v>9</v>
      </c>
      <c r="M26" s="127">
        <v>1</v>
      </c>
      <c r="N26" s="127">
        <v>6</v>
      </c>
      <c r="O26" s="127"/>
      <c r="P26" s="127"/>
      <c r="Q26" s="127"/>
      <c r="R26" s="127"/>
      <c r="S26" s="127"/>
      <c r="T26" s="127"/>
      <c r="U26" s="127"/>
      <c r="V26" s="127"/>
      <c r="W26" s="127"/>
      <c r="X26" s="127"/>
      <c r="Y26" s="127"/>
      <c r="Z26" s="127"/>
      <c r="AA26" s="127"/>
      <c r="AB26" s="127"/>
      <c r="AC26" s="127"/>
      <c r="AD26" s="127"/>
      <c r="AE26" s="127"/>
      <c r="AF26" s="127"/>
      <c r="AG26" s="128">
        <f t="shared" si="0"/>
        <v>72</v>
      </c>
      <c r="AH26" s="128" cm="1">
        <f t="array" ref="AH26">IF($A26="","",SUMPRODUCT((ROW(Beheer!$B$7:$B$36)-ROW(Beheer!$B$7)+1&lt;=Beheer!$C$4)*IFERROR(Beheer!$B$7:$B$36*1,0)))</f>
        <v>130</v>
      </c>
      <c r="AI26" s="127">
        <f t="shared" si="1"/>
        <v>71.999840000000006</v>
      </c>
    </row>
    <row r="27" spans="1:35" ht="24" customHeight="1" x14ac:dyDescent="0.45">
      <c r="A27" s="74" t="str" cm="1">
        <f t="array" ref="A27">IFERROR(IF(INDEX(Beheer!$F$7:$F$66,ROWS($A$2:A27))="","",INDEX(Beheer!$F$7:$F$66,ROWS($A$2:A27))),"")</f>
        <v/>
      </c>
      <c r="B27" s="122"/>
      <c r="C27" s="75"/>
      <c r="D27" s="75"/>
      <c r="E27" s="75"/>
      <c r="F27" s="75"/>
      <c r="G27" s="75"/>
      <c r="H27" s="75"/>
      <c r="I27" s="75"/>
      <c r="J27" s="75"/>
      <c r="K27" s="75"/>
      <c r="L27" s="75"/>
      <c r="M27" s="75"/>
      <c r="N27" s="75"/>
      <c r="O27" s="75"/>
      <c r="P27" s="75"/>
      <c r="Q27" s="75"/>
      <c r="R27" s="75"/>
      <c r="S27" s="75"/>
      <c r="T27" s="75"/>
      <c r="U27" s="75"/>
      <c r="V27" s="75"/>
      <c r="W27" s="75"/>
      <c r="X27" s="75"/>
      <c r="Y27" s="75"/>
      <c r="Z27" s="75"/>
      <c r="AA27" s="75"/>
      <c r="AB27" s="75"/>
      <c r="AC27" s="75"/>
      <c r="AD27" s="75"/>
      <c r="AE27" s="75"/>
      <c r="AF27" s="75"/>
      <c r="AG27" s="76" t="str">
        <f t="shared" si="0"/>
        <v/>
      </c>
      <c r="AH27" s="76" t="str" cm="1">
        <f t="array" ref="AH27">IF($A27="","",SUMPRODUCT((ROW(Beheer!$B$7:$B$36)-ROW(Beheer!$B$7)+1&lt;=Beheer!$C$4)*IFERROR(Beheer!$B$7:$B$36*1,0)))</f>
        <v/>
      </c>
      <c r="AI27" s="75">
        <f t="shared" si="1"/>
        <v>-1</v>
      </c>
    </row>
    <row r="28" spans="1:35" ht="24" customHeight="1" x14ac:dyDescent="0.45">
      <c r="A28" s="125" t="str" cm="1">
        <f t="array" ref="A28">IFERROR(IF(INDEX(Beheer!$F$7:$F$66,ROWS($A$2:A28))="","",INDEX(Beheer!$F$7:$F$66,ROWS($A$2:A28))),"")</f>
        <v/>
      </c>
      <c r="B28" s="126"/>
      <c r="C28" s="127"/>
      <c r="D28" s="127"/>
      <c r="E28" s="127"/>
      <c r="F28" s="127"/>
      <c r="G28" s="127"/>
      <c r="H28" s="127"/>
      <c r="I28" s="127"/>
      <c r="J28" s="127"/>
      <c r="K28" s="127"/>
      <c r="L28" s="127"/>
      <c r="M28" s="127"/>
      <c r="N28" s="127"/>
      <c r="O28" s="127"/>
      <c r="P28" s="127"/>
      <c r="Q28" s="127"/>
      <c r="R28" s="127"/>
      <c r="S28" s="127"/>
      <c r="T28" s="127"/>
      <c r="U28" s="127"/>
      <c r="V28" s="127"/>
      <c r="W28" s="127"/>
      <c r="X28" s="127"/>
      <c r="Y28" s="127"/>
      <c r="Z28" s="127"/>
      <c r="AA28" s="127"/>
      <c r="AB28" s="127"/>
      <c r="AC28" s="127"/>
      <c r="AD28" s="127"/>
      <c r="AE28" s="127"/>
      <c r="AF28" s="127"/>
      <c r="AG28" s="128" t="str">
        <f t="shared" si="0"/>
        <v/>
      </c>
      <c r="AH28" s="128" t="str" cm="1">
        <f t="array" ref="AH28">IF($A28="","",SUMPRODUCT((ROW(Beheer!$B$7:$B$36)-ROW(Beheer!$B$7)+1&lt;=Beheer!$C$4)*IFERROR(Beheer!$B$7:$B$36*1,0)))</f>
        <v/>
      </c>
      <c r="AI28" s="127">
        <f t="shared" si="1"/>
        <v>-1</v>
      </c>
    </row>
    <row r="29" spans="1:35" ht="24" customHeight="1" x14ac:dyDescent="0.45">
      <c r="A29" s="74" t="str" cm="1">
        <f t="array" ref="A29">IFERROR(IF(INDEX(Beheer!$F$7:$F$66,ROWS($A$2:A29))="","",INDEX(Beheer!$F$7:$F$66,ROWS($A$2:A29))),"")</f>
        <v/>
      </c>
      <c r="B29" s="122"/>
      <c r="C29" s="75"/>
      <c r="D29" s="75"/>
      <c r="E29" s="75"/>
      <c r="F29" s="75"/>
      <c r="G29" s="75"/>
      <c r="H29" s="75"/>
      <c r="I29" s="75"/>
      <c r="J29" s="75"/>
      <c r="K29" s="75"/>
      <c r="L29" s="75"/>
      <c r="M29" s="75"/>
      <c r="N29" s="75"/>
      <c r="O29" s="75"/>
      <c r="P29" s="75"/>
      <c r="Q29" s="75"/>
      <c r="R29" s="75"/>
      <c r="S29" s="75"/>
      <c r="T29" s="75"/>
      <c r="U29" s="75"/>
      <c r="V29" s="75"/>
      <c r="W29" s="75"/>
      <c r="X29" s="75"/>
      <c r="Y29" s="75"/>
      <c r="Z29" s="75"/>
      <c r="AA29" s="75"/>
      <c r="AB29" s="75"/>
      <c r="AC29" s="75"/>
      <c r="AD29" s="75"/>
      <c r="AE29" s="75"/>
      <c r="AF29" s="75"/>
      <c r="AG29" s="76" t="str">
        <f t="shared" si="0"/>
        <v/>
      </c>
      <c r="AH29" s="76" t="str" cm="1">
        <f t="array" ref="AH29">IF($A29="","",SUMPRODUCT((ROW(Beheer!$B$7:$B$36)-ROW(Beheer!$B$7)+1&lt;=Beheer!$C$4)*IFERROR(Beheer!$B$7:$B$36*1,0)))</f>
        <v/>
      </c>
      <c r="AI29" s="75">
        <f t="shared" si="1"/>
        <v>-1</v>
      </c>
    </row>
    <row r="30" spans="1:35" ht="24" customHeight="1" x14ac:dyDescent="0.45">
      <c r="A30" s="125" t="str" cm="1">
        <f t="array" ref="A30">IFERROR(IF(INDEX(Beheer!$F$7:$F$66,ROWS($A$2:A30))="","",INDEX(Beheer!$F$7:$F$66,ROWS($A$2:A30))),"")</f>
        <v/>
      </c>
      <c r="B30" s="126"/>
      <c r="C30" s="127"/>
      <c r="D30" s="127"/>
      <c r="E30" s="127"/>
      <c r="F30" s="127"/>
      <c r="G30" s="127"/>
      <c r="H30" s="127"/>
      <c r="I30" s="127"/>
      <c r="J30" s="127"/>
      <c r="K30" s="127"/>
      <c r="L30" s="127"/>
      <c r="M30" s="127"/>
      <c r="N30" s="127"/>
      <c r="O30" s="127"/>
      <c r="P30" s="127"/>
      <c r="Q30" s="127"/>
      <c r="R30" s="127"/>
      <c r="S30" s="127"/>
      <c r="T30" s="127"/>
      <c r="U30" s="127"/>
      <c r="V30" s="127"/>
      <c r="W30" s="127"/>
      <c r="X30" s="127"/>
      <c r="Y30" s="127"/>
      <c r="Z30" s="127"/>
      <c r="AA30" s="127"/>
      <c r="AB30" s="127"/>
      <c r="AC30" s="127"/>
      <c r="AD30" s="127"/>
      <c r="AE30" s="127"/>
      <c r="AF30" s="127"/>
      <c r="AG30" s="128" t="str">
        <f t="shared" si="0"/>
        <v/>
      </c>
      <c r="AH30" s="128" t="str" cm="1">
        <f t="array" ref="AH30">IF($A30="","",SUMPRODUCT((ROW(Beheer!$B$7:$B$36)-ROW(Beheer!$B$7)+1&lt;=Beheer!$C$4)*IFERROR(Beheer!$B$7:$B$36*1,0)))</f>
        <v/>
      </c>
      <c r="AI30" s="127">
        <f t="shared" si="1"/>
        <v>-1</v>
      </c>
    </row>
    <row r="31" spans="1:35" ht="24" customHeight="1" x14ac:dyDescent="0.45">
      <c r="A31" s="77" t="str" cm="1">
        <f t="array" ref="A31">IFERROR(IF(INDEX(Beheer!$F$7:$F$66,ROWS($A$2:A31))="","",INDEX(Beheer!$F$7:$F$66,ROWS($A$2:A31))),"")</f>
        <v/>
      </c>
      <c r="B31" s="122"/>
      <c r="C31" s="75"/>
      <c r="D31" s="75"/>
      <c r="E31" s="75"/>
      <c r="F31" s="75"/>
      <c r="G31" s="75"/>
      <c r="H31" s="75"/>
      <c r="I31" s="75"/>
      <c r="J31" s="75"/>
      <c r="K31" s="75"/>
      <c r="L31" s="75"/>
      <c r="M31" s="75"/>
      <c r="N31" s="75"/>
      <c r="O31" s="75"/>
      <c r="P31" s="75"/>
      <c r="Q31" s="75"/>
      <c r="R31" s="75"/>
      <c r="S31" s="75"/>
      <c r="T31" s="75"/>
      <c r="U31" s="75"/>
      <c r="V31" s="75"/>
      <c r="W31" s="75"/>
      <c r="X31" s="75"/>
      <c r="Y31" s="75"/>
      <c r="Z31" s="75"/>
      <c r="AA31" s="75"/>
      <c r="AB31" s="75"/>
      <c r="AC31" s="75"/>
      <c r="AD31" s="75"/>
      <c r="AE31" s="75"/>
      <c r="AF31" s="75"/>
      <c r="AG31" s="123" t="str">
        <f t="shared" si="0"/>
        <v/>
      </c>
      <c r="AH31" s="76" t="str" cm="1">
        <f t="array" ref="AH31">IF($A31="","",SUMPRODUCT((ROW(Beheer!$B$7:$B$36)-ROW(Beheer!$B$7)+1&lt;=Beheer!$C$4)*IFERROR(Beheer!$B$7:$B$36*1,0)))</f>
        <v/>
      </c>
      <c r="AI31" s="124">
        <f t="shared" si="1"/>
        <v>-1</v>
      </c>
    </row>
    <row r="32" spans="1:35" ht="24" customHeight="1" x14ac:dyDescent="0.45">
      <c r="A32" s="129" t="str" cm="1">
        <f t="array" ref="A32">IFERROR(IF(INDEX(Beheer!$F$7:$F$66,ROWS($A$2:A32))="","",INDEX(Beheer!$F$7:$F$66,ROWS($A$2:A32))),"")</f>
        <v/>
      </c>
      <c r="B32" s="126"/>
      <c r="C32" s="127"/>
      <c r="D32" s="127"/>
      <c r="E32" s="127"/>
      <c r="F32" s="127"/>
      <c r="G32" s="127"/>
      <c r="H32" s="127"/>
      <c r="I32" s="127"/>
      <c r="J32" s="127"/>
      <c r="K32" s="127"/>
      <c r="L32" s="127"/>
      <c r="M32" s="127"/>
      <c r="N32" s="127"/>
      <c r="O32" s="127"/>
      <c r="P32" s="127"/>
      <c r="Q32" s="127"/>
      <c r="R32" s="127"/>
      <c r="S32" s="127"/>
      <c r="T32" s="127"/>
      <c r="U32" s="127"/>
      <c r="V32" s="127"/>
      <c r="W32" s="127"/>
      <c r="X32" s="127"/>
      <c r="Y32" s="127"/>
      <c r="Z32" s="127"/>
      <c r="AA32" s="127"/>
      <c r="AB32" s="127"/>
      <c r="AC32" s="127"/>
      <c r="AD32" s="127"/>
      <c r="AE32" s="127"/>
      <c r="AF32" s="127"/>
      <c r="AG32" s="134" t="str">
        <f t="shared" si="0"/>
        <v/>
      </c>
      <c r="AH32" s="128" t="str" cm="1">
        <f t="array" ref="AH32">IF($A32="","",SUMPRODUCT((ROW(Beheer!$B$7:$B$36)-ROW(Beheer!$B$7)+1&lt;=Beheer!$C$4)*IFERROR(Beheer!$B$7:$B$36*1,0)))</f>
        <v/>
      </c>
      <c r="AI32" s="135">
        <f t="shared" si="1"/>
        <v>-1</v>
      </c>
    </row>
    <row r="33" spans="1:35" ht="24" customHeight="1" x14ac:dyDescent="0.45">
      <c r="A33" s="77" t="str" cm="1">
        <f t="array" ref="A33">IFERROR(IF(INDEX(Beheer!$F$7:$F$66,ROWS($A$2:A33))="","",INDEX(Beheer!$F$7:$F$66,ROWS($A$2:A33))),"")</f>
        <v/>
      </c>
      <c r="B33" s="122"/>
      <c r="C33" s="75"/>
      <c r="D33" s="75"/>
      <c r="E33" s="75"/>
      <c r="F33" s="75"/>
      <c r="G33" s="75"/>
      <c r="H33" s="75"/>
      <c r="I33" s="75"/>
      <c r="J33" s="75"/>
      <c r="K33" s="75"/>
      <c r="L33" s="75"/>
      <c r="M33" s="75"/>
      <c r="N33" s="75"/>
      <c r="O33" s="75"/>
      <c r="P33" s="75"/>
      <c r="Q33" s="75"/>
      <c r="R33" s="75"/>
      <c r="S33" s="75"/>
      <c r="T33" s="75"/>
      <c r="U33" s="75"/>
      <c r="V33" s="75"/>
      <c r="W33" s="75"/>
      <c r="X33" s="75"/>
      <c r="Y33" s="75"/>
      <c r="Z33" s="75"/>
      <c r="AA33" s="75"/>
      <c r="AB33" s="75"/>
      <c r="AC33" s="75"/>
      <c r="AD33" s="75"/>
      <c r="AE33" s="75"/>
      <c r="AF33" s="75"/>
      <c r="AG33" s="133" t="str">
        <f t="shared" si="0"/>
        <v/>
      </c>
      <c r="AH33" s="76" t="str" cm="1">
        <f t="array" ref="AH33">IF($A33="","",SUMPRODUCT((ROW(Beheer!$B$7:$B$36)-ROW(Beheer!$B$7)+1&lt;=Beheer!$C$4)*IFERROR(Beheer!$B$7:$B$36*1,0)))</f>
        <v/>
      </c>
      <c r="AI33" s="132">
        <f t="shared" si="1"/>
        <v>-1</v>
      </c>
    </row>
    <row r="34" spans="1:35" ht="24" customHeight="1" x14ac:dyDescent="0.45">
      <c r="A34" s="129" t="str" cm="1">
        <f t="array" ref="A34">IFERROR(IF(INDEX(Beheer!$F$7:$F$66,ROWS($A$2:A34))="","",INDEX(Beheer!$F$7:$F$66,ROWS($A$2:A34))),"")</f>
        <v/>
      </c>
      <c r="B34" s="126"/>
      <c r="C34" s="127"/>
      <c r="D34" s="127"/>
      <c r="E34" s="127"/>
      <c r="F34" s="127"/>
      <c r="G34" s="127"/>
      <c r="H34" s="127"/>
      <c r="I34" s="127"/>
      <c r="J34" s="127"/>
      <c r="K34" s="127"/>
      <c r="L34" s="127"/>
      <c r="M34" s="127"/>
      <c r="N34" s="127"/>
      <c r="O34" s="127"/>
      <c r="P34" s="127"/>
      <c r="Q34" s="127"/>
      <c r="R34" s="127"/>
      <c r="S34" s="127"/>
      <c r="T34" s="127"/>
      <c r="U34" s="127"/>
      <c r="V34" s="127"/>
      <c r="W34" s="127"/>
      <c r="X34" s="127"/>
      <c r="Y34" s="127"/>
      <c r="Z34" s="127"/>
      <c r="AA34" s="127"/>
      <c r="AB34" s="127"/>
      <c r="AC34" s="127"/>
      <c r="AD34" s="127"/>
      <c r="AE34" s="127"/>
      <c r="AF34" s="127"/>
      <c r="AG34" s="134" t="str">
        <f t="shared" ref="AG34:AG61" si="2">IF($A34="","",SUM(C34:AF34))</f>
        <v/>
      </c>
      <c r="AH34" s="128" t="str" cm="1">
        <f t="array" ref="AH34">IF($A34="","",SUMPRODUCT((ROW(Beheer!$B$7:$B$36)-ROW(Beheer!$B$7)+1&lt;=Beheer!$C$4)*IFERROR(Beheer!$B$7:$B$36*1,0)))</f>
        <v/>
      </c>
      <c r="AI34" s="135">
        <f t="shared" ref="AI34:AI61" si="3">IF($A34="",-1,SUM(C34:AF34)-IFERROR(B34,999)/100000)</f>
        <v>-1</v>
      </c>
    </row>
    <row r="35" spans="1:35" ht="24" customHeight="1" x14ac:dyDescent="0.45">
      <c r="A35" s="77" t="str" cm="1">
        <f t="array" ref="A35">IFERROR(IF(INDEX(Beheer!$F$7:$F$66,ROWS($A$2:A35))="","",INDEX(Beheer!$F$7:$F$66,ROWS($A$2:A35))),"")</f>
        <v/>
      </c>
      <c r="B35" s="122"/>
      <c r="C35" s="75"/>
      <c r="D35" s="75"/>
      <c r="E35" s="75"/>
      <c r="F35" s="75"/>
      <c r="G35" s="75"/>
      <c r="H35" s="75"/>
      <c r="I35" s="75"/>
      <c r="J35" s="75"/>
      <c r="K35" s="75"/>
      <c r="L35" s="75"/>
      <c r="M35" s="75"/>
      <c r="N35" s="75"/>
      <c r="O35" s="75"/>
      <c r="P35" s="75"/>
      <c r="Q35" s="75"/>
      <c r="R35" s="75"/>
      <c r="S35" s="75"/>
      <c r="T35" s="75"/>
      <c r="U35" s="75"/>
      <c r="V35" s="75"/>
      <c r="W35" s="75"/>
      <c r="X35" s="75"/>
      <c r="Y35" s="75"/>
      <c r="Z35" s="75"/>
      <c r="AA35" s="75"/>
      <c r="AB35" s="75"/>
      <c r="AC35" s="75"/>
      <c r="AD35" s="75"/>
      <c r="AE35" s="75"/>
      <c r="AF35" s="75"/>
      <c r="AG35" s="133" t="str">
        <f t="shared" si="2"/>
        <v/>
      </c>
      <c r="AH35" s="76" t="str" cm="1">
        <f t="array" ref="AH35">IF($A35="","",SUMPRODUCT((ROW(Beheer!$B$7:$B$36)-ROW(Beheer!$B$7)+1&lt;=Beheer!$C$4)*IFERROR(Beheer!$B$7:$B$36*1,0)))</f>
        <v/>
      </c>
      <c r="AI35" s="132">
        <f t="shared" si="3"/>
        <v>-1</v>
      </c>
    </row>
    <row r="36" spans="1:35" ht="24" customHeight="1" x14ac:dyDescent="0.45">
      <c r="A36" s="129" t="str" cm="1">
        <f t="array" ref="A36">IFERROR(IF(INDEX(Beheer!$F$7:$F$66,ROWS($A$2:A36))="","",INDEX(Beheer!$F$7:$F$66,ROWS($A$2:A36))),"")</f>
        <v/>
      </c>
      <c r="B36" s="126"/>
      <c r="C36" s="127"/>
      <c r="D36" s="127"/>
      <c r="E36" s="127"/>
      <c r="F36" s="127"/>
      <c r="G36" s="127"/>
      <c r="H36" s="127"/>
      <c r="I36" s="127"/>
      <c r="J36" s="127"/>
      <c r="K36" s="127"/>
      <c r="L36" s="127"/>
      <c r="M36" s="127"/>
      <c r="N36" s="127"/>
      <c r="O36" s="127"/>
      <c r="P36" s="127"/>
      <c r="Q36" s="127"/>
      <c r="R36" s="127"/>
      <c r="S36" s="127"/>
      <c r="T36" s="127"/>
      <c r="U36" s="127"/>
      <c r="V36" s="127"/>
      <c r="W36" s="127"/>
      <c r="X36" s="127"/>
      <c r="Y36" s="127"/>
      <c r="Z36" s="127"/>
      <c r="AA36" s="127"/>
      <c r="AB36" s="127"/>
      <c r="AC36" s="127"/>
      <c r="AD36" s="127"/>
      <c r="AE36" s="127"/>
      <c r="AF36" s="127"/>
      <c r="AG36" s="134" t="str">
        <f t="shared" si="2"/>
        <v/>
      </c>
      <c r="AH36" s="128" t="str" cm="1">
        <f t="array" ref="AH36">IF($A36="","",SUMPRODUCT((ROW(Beheer!$B$7:$B$36)-ROW(Beheer!$B$7)+1&lt;=Beheer!$C$4)*IFERROR(Beheer!$B$7:$B$36*1,0)))</f>
        <v/>
      </c>
      <c r="AI36" s="135">
        <f t="shared" si="3"/>
        <v>-1</v>
      </c>
    </row>
    <row r="37" spans="1:35" ht="24" customHeight="1" x14ac:dyDescent="0.45">
      <c r="A37" s="77" t="str" cm="1">
        <f t="array" ref="A37">IFERROR(IF(INDEX(Beheer!$F$7:$F$66,ROWS($A$2:A37))="","",INDEX(Beheer!$F$7:$F$66,ROWS($A$2:A37))),"")</f>
        <v/>
      </c>
      <c r="B37" s="122"/>
      <c r="C37" s="75"/>
      <c r="D37" s="75"/>
      <c r="E37" s="75"/>
      <c r="F37" s="75"/>
      <c r="G37" s="75"/>
      <c r="H37" s="75"/>
      <c r="I37" s="75"/>
      <c r="J37" s="75"/>
      <c r="K37" s="75"/>
      <c r="L37" s="75"/>
      <c r="M37" s="75"/>
      <c r="N37" s="75"/>
      <c r="O37" s="75"/>
      <c r="P37" s="75"/>
      <c r="Q37" s="75"/>
      <c r="R37" s="75"/>
      <c r="S37" s="75"/>
      <c r="T37" s="75"/>
      <c r="U37" s="75"/>
      <c r="V37" s="75"/>
      <c r="W37" s="75"/>
      <c r="X37" s="75"/>
      <c r="Y37" s="75"/>
      <c r="Z37" s="75"/>
      <c r="AA37" s="75"/>
      <c r="AB37" s="75"/>
      <c r="AC37" s="75"/>
      <c r="AD37" s="75"/>
      <c r="AE37" s="75"/>
      <c r="AF37" s="75"/>
      <c r="AG37" s="133" t="str">
        <f t="shared" si="2"/>
        <v/>
      </c>
      <c r="AH37" s="76" t="str" cm="1">
        <f t="array" ref="AH37">IF($A37="","",SUMPRODUCT((ROW(Beheer!$B$7:$B$36)-ROW(Beheer!$B$7)+1&lt;=Beheer!$C$4)*IFERROR(Beheer!$B$7:$B$36*1,0)))</f>
        <v/>
      </c>
      <c r="AI37" s="132">
        <f t="shared" si="3"/>
        <v>-1</v>
      </c>
    </row>
    <row r="38" spans="1:35" ht="24" customHeight="1" x14ac:dyDescent="0.45">
      <c r="A38" s="129" t="str" cm="1">
        <f t="array" ref="A38">IFERROR(IF(INDEX(Beheer!$F$7:$F$66,ROWS($A$2:A38))="","",INDEX(Beheer!$F$7:$F$66,ROWS($A$2:A38))),"")</f>
        <v/>
      </c>
      <c r="B38" s="126"/>
      <c r="C38" s="127"/>
      <c r="D38" s="127"/>
      <c r="E38" s="127"/>
      <c r="F38" s="127"/>
      <c r="G38" s="127"/>
      <c r="H38" s="127"/>
      <c r="I38" s="127"/>
      <c r="J38" s="127"/>
      <c r="K38" s="127"/>
      <c r="L38" s="127"/>
      <c r="M38" s="127"/>
      <c r="N38" s="127"/>
      <c r="O38" s="127"/>
      <c r="P38" s="127"/>
      <c r="Q38" s="127"/>
      <c r="R38" s="127"/>
      <c r="S38" s="127"/>
      <c r="T38" s="127"/>
      <c r="U38" s="127"/>
      <c r="V38" s="127"/>
      <c r="W38" s="127"/>
      <c r="X38" s="127"/>
      <c r="Y38" s="127"/>
      <c r="Z38" s="127"/>
      <c r="AA38" s="127"/>
      <c r="AB38" s="127"/>
      <c r="AC38" s="127"/>
      <c r="AD38" s="127"/>
      <c r="AE38" s="127"/>
      <c r="AF38" s="127"/>
      <c r="AG38" s="134" t="str">
        <f t="shared" si="2"/>
        <v/>
      </c>
      <c r="AH38" s="128" t="str" cm="1">
        <f t="array" ref="AH38">IF($A38="","",SUMPRODUCT((ROW(Beheer!$B$7:$B$36)-ROW(Beheer!$B$7)+1&lt;=Beheer!$C$4)*IFERROR(Beheer!$B$7:$B$36*1,0)))</f>
        <v/>
      </c>
      <c r="AI38" s="135">
        <f t="shared" si="3"/>
        <v>-1</v>
      </c>
    </row>
    <row r="39" spans="1:35" ht="24" customHeight="1" x14ac:dyDescent="0.45">
      <c r="A39" s="77" t="str" cm="1">
        <f t="array" ref="A39">IFERROR(IF(INDEX(Beheer!$F$7:$F$66,ROWS($A$2:A39))="","",INDEX(Beheer!$F$7:$F$66,ROWS($A$2:A39))),"")</f>
        <v/>
      </c>
      <c r="B39" s="122"/>
      <c r="C39" s="75"/>
      <c r="D39" s="75"/>
      <c r="E39" s="75"/>
      <c r="F39" s="75"/>
      <c r="G39" s="75"/>
      <c r="H39" s="75"/>
      <c r="I39" s="75"/>
      <c r="J39" s="75"/>
      <c r="K39" s="75"/>
      <c r="L39" s="75"/>
      <c r="M39" s="75"/>
      <c r="N39" s="75"/>
      <c r="O39" s="75"/>
      <c r="P39" s="75"/>
      <c r="Q39" s="75"/>
      <c r="R39" s="75"/>
      <c r="S39" s="75"/>
      <c r="T39" s="75"/>
      <c r="U39" s="75"/>
      <c r="V39" s="75"/>
      <c r="W39" s="75"/>
      <c r="X39" s="75"/>
      <c r="Y39" s="75"/>
      <c r="Z39" s="75"/>
      <c r="AA39" s="75"/>
      <c r="AB39" s="75"/>
      <c r="AC39" s="75"/>
      <c r="AD39" s="75"/>
      <c r="AE39" s="75"/>
      <c r="AF39" s="75"/>
      <c r="AG39" s="133" t="str">
        <f t="shared" si="2"/>
        <v/>
      </c>
      <c r="AH39" s="76" t="str" cm="1">
        <f t="array" ref="AH39">IF($A39="","",SUMPRODUCT((ROW(Beheer!$B$7:$B$36)-ROW(Beheer!$B$7)+1&lt;=Beheer!$C$4)*IFERROR(Beheer!$B$7:$B$36*1,0)))</f>
        <v/>
      </c>
      <c r="AI39" s="132">
        <f t="shared" si="3"/>
        <v>-1</v>
      </c>
    </row>
    <row r="40" spans="1:35" ht="24" customHeight="1" x14ac:dyDescent="0.45">
      <c r="A40" s="129" t="str" cm="1">
        <f t="array" ref="A40">IFERROR(IF(INDEX(Beheer!$F$7:$F$66,ROWS($A$2:A40))="","",INDEX(Beheer!$F$7:$F$66,ROWS($A$2:A40))),"")</f>
        <v/>
      </c>
      <c r="B40" s="126"/>
      <c r="C40" s="127"/>
      <c r="D40" s="127"/>
      <c r="E40" s="127"/>
      <c r="F40" s="127"/>
      <c r="G40" s="127"/>
      <c r="H40" s="127"/>
      <c r="I40" s="127"/>
      <c r="J40" s="127"/>
      <c r="K40" s="127"/>
      <c r="L40" s="127"/>
      <c r="M40" s="127"/>
      <c r="N40" s="127"/>
      <c r="O40" s="127"/>
      <c r="P40" s="127"/>
      <c r="Q40" s="127"/>
      <c r="R40" s="127"/>
      <c r="S40" s="127"/>
      <c r="T40" s="127"/>
      <c r="U40" s="127"/>
      <c r="V40" s="127"/>
      <c r="W40" s="127"/>
      <c r="X40" s="127"/>
      <c r="Y40" s="127"/>
      <c r="Z40" s="127"/>
      <c r="AA40" s="127"/>
      <c r="AB40" s="127"/>
      <c r="AC40" s="127"/>
      <c r="AD40" s="127"/>
      <c r="AE40" s="127"/>
      <c r="AF40" s="127"/>
      <c r="AG40" s="134" t="str">
        <f t="shared" si="2"/>
        <v/>
      </c>
      <c r="AH40" s="128" t="str" cm="1">
        <f t="array" ref="AH40">IF($A40="","",SUMPRODUCT((ROW(Beheer!$B$7:$B$36)-ROW(Beheer!$B$7)+1&lt;=Beheer!$C$4)*IFERROR(Beheer!$B$7:$B$36*1,0)))</f>
        <v/>
      </c>
      <c r="AI40" s="135">
        <f t="shared" si="3"/>
        <v>-1</v>
      </c>
    </row>
    <row r="41" spans="1:35" ht="24" customHeight="1" x14ac:dyDescent="0.45">
      <c r="A41" s="77" t="str" cm="1">
        <f t="array" ref="A41">IFERROR(IF(INDEX(Beheer!$F$7:$F$66,ROWS($A$2:A41))="","",INDEX(Beheer!$F$7:$F$66,ROWS($A$2:A41))),"")</f>
        <v/>
      </c>
      <c r="B41" s="122"/>
      <c r="C41" s="75"/>
      <c r="D41" s="75"/>
      <c r="E41" s="75"/>
      <c r="F41" s="75"/>
      <c r="G41" s="75"/>
      <c r="H41" s="75"/>
      <c r="I41" s="75"/>
      <c r="J41" s="75"/>
      <c r="K41" s="75"/>
      <c r="L41" s="75"/>
      <c r="M41" s="75"/>
      <c r="N41" s="75"/>
      <c r="O41" s="75"/>
      <c r="P41" s="75"/>
      <c r="Q41" s="75"/>
      <c r="R41" s="75"/>
      <c r="S41" s="75"/>
      <c r="T41" s="75"/>
      <c r="U41" s="75"/>
      <c r="V41" s="75"/>
      <c r="W41" s="75"/>
      <c r="X41" s="75"/>
      <c r="Y41" s="75"/>
      <c r="Z41" s="75"/>
      <c r="AA41" s="75"/>
      <c r="AB41" s="75"/>
      <c r="AC41" s="75"/>
      <c r="AD41" s="75"/>
      <c r="AE41" s="75"/>
      <c r="AF41" s="75"/>
      <c r="AG41" s="133" t="str">
        <f t="shared" si="2"/>
        <v/>
      </c>
      <c r="AH41" s="76" t="str" cm="1">
        <f t="array" ref="AH41">IF($A41="","",SUMPRODUCT((ROW(Beheer!$B$7:$B$36)-ROW(Beheer!$B$7)+1&lt;=Beheer!$C$4)*IFERROR(Beheer!$B$7:$B$36*1,0)))</f>
        <v/>
      </c>
      <c r="AI41" s="132">
        <f t="shared" si="3"/>
        <v>-1</v>
      </c>
    </row>
    <row r="42" spans="1:35" ht="24" customHeight="1" x14ac:dyDescent="0.45">
      <c r="A42" s="129" t="str" cm="1">
        <f t="array" ref="A42">IFERROR(IF(INDEX(Beheer!$F$7:$F$66,ROWS($A$2:A42))="","",INDEX(Beheer!$F$7:$F$66,ROWS($A$2:A42))),"")</f>
        <v/>
      </c>
      <c r="B42" s="126"/>
      <c r="C42" s="127"/>
      <c r="D42" s="127"/>
      <c r="E42" s="127"/>
      <c r="F42" s="127"/>
      <c r="G42" s="127"/>
      <c r="H42" s="127"/>
      <c r="I42" s="127"/>
      <c r="J42" s="127"/>
      <c r="K42" s="127"/>
      <c r="L42" s="127"/>
      <c r="M42" s="127"/>
      <c r="N42" s="127"/>
      <c r="O42" s="127"/>
      <c r="P42" s="127"/>
      <c r="Q42" s="127"/>
      <c r="R42" s="127"/>
      <c r="S42" s="127"/>
      <c r="T42" s="127"/>
      <c r="U42" s="127"/>
      <c r="V42" s="127"/>
      <c r="W42" s="127"/>
      <c r="X42" s="127"/>
      <c r="Y42" s="127"/>
      <c r="Z42" s="127"/>
      <c r="AA42" s="127"/>
      <c r="AB42" s="127"/>
      <c r="AC42" s="127"/>
      <c r="AD42" s="127"/>
      <c r="AE42" s="127"/>
      <c r="AF42" s="127"/>
      <c r="AG42" s="134" t="str">
        <f t="shared" si="2"/>
        <v/>
      </c>
      <c r="AH42" s="128" t="str" cm="1">
        <f t="array" ref="AH42">IF($A42="","",SUMPRODUCT((ROW(Beheer!$B$7:$B$36)-ROW(Beheer!$B$7)+1&lt;=Beheer!$C$4)*IFERROR(Beheer!$B$7:$B$36*1,0)))</f>
        <v/>
      </c>
      <c r="AI42" s="135">
        <f t="shared" si="3"/>
        <v>-1</v>
      </c>
    </row>
    <row r="43" spans="1:35" ht="24" customHeight="1" x14ac:dyDescent="0.45">
      <c r="A43" s="77" t="str" cm="1">
        <f t="array" ref="A43">IFERROR(IF(INDEX(Beheer!$F$7:$F$66,ROWS($A$2:A43))="","",INDEX(Beheer!$F$7:$F$66,ROWS($A$2:A43))),"")</f>
        <v/>
      </c>
      <c r="B43" s="122"/>
      <c r="C43" s="75"/>
      <c r="D43" s="75"/>
      <c r="E43" s="75"/>
      <c r="F43" s="75"/>
      <c r="G43" s="75"/>
      <c r="H43" s="75"/>
      <c r="I43" s="75"/>
      <c r="J43" s="75"/>
      <c r="K43" s="75"/>
      <c r="L43" s="75"/>
      <c r="M43" s="75"/>
      <c r="N43" s="75"/>
      <c r="O43" s="75"/>
      <c r="P43" s="75"/>
      <c r="Q43" s="75"/>
      <c r="R43" s="75"/>
      <c r="S43" s="75"/>
      <c r="T43" s="75"/>
      <c r="U43" s="75"/>
      <c r="V43" s="75"/>
      <c r="W43" s="75"/>
      <c r="X43" s="75"/>
      <c r="Y43" s="75"/>
      <c r="Z43" s="75"/>
      <c r="AA43" s="75"/>
      <c r="AB43" s="75"/>
      <c r="AC43" s="75"/>
      <c r="AD43" s="75"/>
      <c r="AE43" s="75"/>
      <c r="AF43" s="75"/>
      <c r="AG43" s="133" t="str">
        <f t="shared" si="2"/>
        <v/>
      </c>
      <c r="AH43" s="76" t="str" cm="1">
        <f t="array" ref="AH43">IF($A43="","",SUMPRODUCT((ROW(Beheer!$B$7:$B$36)-ROW(Beheer!$B$7)+1&lt;=Beheer!$C$4)*IFERROR(Beheer!$B$7:$B$36*1,0)))</f>
        <v/>
      </c>
      <c r="AI43" s="132">
        <f t="shared" si="3"/>
        <v>-1</v>
      </c>
    </row>
    <row r="44" spans="1:35" ht="24" customHeight="1" x14ac:dyDescent="0.45">
      <c r="A44" s="129" t="str" cm="1">
        <f t="array" ref="A44">IFERROR(IF(INDEX(Beheer!$F$7:$F$66,ROWS($A$2:A44))="","",INDEX(Beheer!$F$7:$F$66,ROWS($A$2:A44))),"")</f>
        <v/>
      </c>
      <c r="B44" s="126"/>
      <c r="C44" s="127"/>
      <c r="D44" s="127"/>
      <c r="E44" s="127"/>
      <c r="F44" s="127"/>
      <c r="G44" s="127"/>
      <c r="H44" s="127"/>
      <c r="I44" s="127"/>
      <c r="J44" s="127"/>
      <c r="K44" s="127"/>
      <c r="L44" s="127"/>
      <c r="M44" s="127"/>
      <c r="N44" s="127"/>
      <c r="O44" s="127"/>
      <c r="P44" s="127"/>
      <c r="Q44" s="127"/>
      <c r="R44" s="127"/>
      <c r="S44" s="127"/>
      <c r="T44" s="127"/>
      <c r="U44" s="127"/>
      <c r="V44" s="127"/>
      <c r="W44" s="127"/>
      <c r="X44" s="127"/>
      <c r="Y44" s="127"/>
      <c r="Z44" s="127"/>
      <c r="AA44" s="127"/>
      <c r="AB44" s="127"/>
      <c r="AC44" s="127"/>
      <c r="AD44" s="127"/>
      <c r="AE44" s="127"/>
      <c r="AF44" s="127"/>
      <c r="AG44" s="134" t="str">
        <f t="shared" si="2"/>
        <v/>
      </c>
      <c r="AH44" s="128" t="str" cm="1">
        <f t="array" ref="AH44">IF($A44="","",SUMPRODUCT((ROW(Beheer!$B$7:$B$36)-ROW(Beheer!$B$7)+1&lt;=Beheer!$C$4)*IFERROR(Beheer!$B$7:$B$36*1,0)))</f>
        <v/>
      </c>
      <c r="AI44" s="135">
        <f t="shared" si="3"/>
        <v>-1</v>
      </c>
    </row>
    <row r="45" spans="1:35" ht="24" customHeight="1" x14ac:dyDescent="0.45">
      <c r="A45" s="77" t="str" cm="1">
        <f t="array" ref="A45">IFERROR(IF(INDEX(Beheer!$F$7:$F$66,ROWS($A$2:A45))="","",INDEX(Beheer!$F$7:$F$66,ROWS($A$2:A45))),"")</f>
        <v/>
      </c>
      <c r="B45" s="122"/>
      <c r="C45" s="75"/>
      <c r="D45" s="75"/>
      <c r="E45" s="75"/>
      <c r="F45" s="75"/>
      <c r="G45" s="75"/>
      <c r="H45" s="75"/>
      <c r="I45" s="75"/>
      <c r="J45" s="75"/>
      <c r="K45" s="75"/>
      <c r="L45" s="75"/>
      <c r="M45" s="75"/>
      <c r="N45" s="75"/>
      <c r="O45" s="75"/>
      <c r="P45" s="75"/>
      <c r="Q45" s="75"/>
      <c r="R45" s="75"/>
      <c r="S45" s="75"/>
      <c r="T45" s="75"/>
      <c r="U45" s="75"/>
      <c r="V45" s="75"/>
      <c r="W45" s="75"/>
      <c r="X45" s="75"/>
      <c r="Y45" s="75"/>
      <c r="Z45" s="75"/>
      <c r="AA45" s="75"/>
      <c r="AB45" s="75"/>
      <c r="AC45" s="75"/>
      <c r="AD45" s="75"/>
      <c r="AE45" s="75"/>
      <c r="AF45" s="75"/>
      <c r="AG45" s="133" t="str">
        <f t="shared" si="2"/>
        <v/>
      </c>
      <c r="AH45" s="76" t="str" cm="1">
        <f t="array" ref="AH45">IF($A45="","",SUMPRODUCT((ROW(Beheer!$B$7:$B$36)-ROW(Beheer!$B$7)+1&lt;=Beheer!$C$4)*IFERROR(Beheer!$B$7:$B$36*1,0)))</f>
        <v/>
      </c>
      <c r="AI45" s="132">
        <f t="shared" si="3"/>
        <v>-1</v>
      </c>
    </row>
    <row r="46" spans="1:35" ht="24" customHeight="1" x14ac:dyDescent="0.45">
      <c r="A46" s="129" t="str" cm="1">
        <f t="array" ref="A46">IFERROR(IF(INDEX(Beheer!$F$7:$F$66,ROWS($A$2:A46))="","",INDEX(Beheer!$F$7:$F$66,ROWS($A$2:A46))),"")</f>
        <v/>
      </c>
      <c r="B46" s="126"/>
      <c r="C46" s="127"/>
      <c r="D46" s="127"/>
      <c r="E46" s="127"/>
      <c r="F46" s="127"/>
      <c r="G46" s="127"/>
      <c r="H46" s="127"/>
      <c r="I46" s="127"/>
      <c r="J46" s="127"/>
      <c r="K46" s="127"/>
      <c r="L46" s="127"/>
      <c r="M46" s="127"/>
      <c r="N46" s="127"/>
      <c r="O46" s="127"/>
      <c r="P46" s="127"/>
      <c r="Q46" s="127"/>
      <c r="R46" s="127"/>
      <c r="S46" s="127"/>
      <c r="T46" s="127"/>
      <c r="U46" s="127"/>
      <c r="V46" s="127"/>
      <c r="W46" s="127"/>
      <c r="X46" s="127"/>
      <c r="Y46" s="127"/>
      <c r="Z46" s="127"/>
      <c r="AA46" s="127"/>
      <c r="AB46" s="127"/>
      <c r="AC46" s="127"/>
      <c r="AD46" s="127"/>
      <c r="AE46" s="127"/>
      <c r="AF46" s="127"/>
      <c r="AG46" s="134" t="str">
        <f t="shared" si="2"/>
        <v/>
      </c>
      <c r="AH46" s="128" t="str" cm="1">
        <f t="array" ref="AH46">IF($A46="","",SUMPRODUCT((ROW(Beheer!$B$7:$B$36)-ROW(Beheer!$B$7)+1&lt;=Beheer!$C$4)*IFERROR(Beheer!$B$7:$B$36*1,0)))</f>
        <v/>
      </c>
      <c r="AI46" s="135">
        <f t="shared" si="3"/>
        <v>-1</v>
      </c>
    </row>
    <row r="47" spans="1:35" ht="24" customHeight="1" x14ac:dyDescent="0.45">
      <c r="A47" s="77" t="str" cm="1">
        <f t="array" ref="A47">IFERROR(IF(INDEX(Beheer!$F$7:$F$66,ROWS($A$2:A47))="","",INDEX(Beheer!$F$7:$F$66,ROWS($A$2:A47))),"")</f>
        <v/>
      </c>
      <c r="B47" s="122"/>
      <c r="C47" s="75"/>
      <c r="D47" s="75"/>
      <c r="E47" s="75"/>
      <c r="F47" s="75"/>
      <c r="G47" s="75"/>
      <c r="H47" s="75"/>
      <c r="I47" s="75"/>
      <c r="J47" s="75"/>
      <c r="K47" s="75"/>
      <c r="L47" s="75"/>
      <c r="M47" s="75"/>
      <c r="N47" s="75"/>
      <c r="O47" s="75"/>
      <c r="P47" s="75"/>
      <c r="Q47" s="75"/>
      <c r="R47" s="75"/>
      <c r="S47" s="75"/>
      <c r="T47" s="75"/>
      <c r="U47" s="75"/>
      <c r="V47" s="75"/>
      <c r="W47" s="75"/>
      <c r="X47" s="75"/>
      <c r="Y47" s="75"/>
      <c r="Z47" s="75"/>
      <c r="AA47" s="75"/>
      <c r="AB47" s="75"/>
      <c r="AC47" s="75"/>
      <c r="AD47" s="75"/>
      <c r="AE47" s="75"/>
      <c r="AF47" s="75"/>
      <c r="AG47" s="133" t="str">
        <f t="shared" si="2"/>
        <v/>
      </c>
      <c r="AH47" s="76" t="str" cm="1">
        <f t="array" ref="AH47">IF($A47="","",SUMPRODUCT((ROW(Beheer!$B$7:$B$36)-ROW(Beheer!$B$7)+1&lt;=Beheer!$C$4)*IFERROR(Beheer!$B$7:$B$36*1,0)))</f>
        <v/>
      </c>
      <c r="AI47" s="132">
        <f t="shared" si="3"/>
        <v>-1</v>
      </c>
    </row>
    <row r="48" spans="1:35" ht="24" customHeight="1" x14ac:dyDescent="0.45">
      <c r="A48" s="129" t="str" cm="1">
        <f t="array" ref="A48">IFERROR(IF(INDEX(Beheer!$F$7:$F$66,ROWS($A$2:A48))="","",INDEX(Beheer!$F$7:$F$66,ROWS($A$2:A48))),"")</f>
        <v/>
      </c>
      <c r="B48" s="126"/>
      <c r="C48" s="127"/>
      <c r="D48" s="127"/>
      <c r="E48" s="127"/>
      <c r="F48" s="127"/>
      <c r="G48" s="127"/>
      <c r="H48" s="127"/>
      <c r="I48" s="127"/>
      <c r="J48" s="127"/>
      <c r="K48" s="127"/>
      <c r="L48" s="127"/>
      <c r="M48" s="127"/>
      <c r="N48" s="127"/>
      <c r="O48" s="127"/>
      <c r="P48" s="127"/>
      <c r="Q48" s="127"/>
      <c r="R48" s="127"/>
      <c r="S48" s="127"/>
      <c r="T48" s="127"/>
      <c r="U48" s="127"/>
      <c r="V48" s="127"/>
      <c r="W48" s="127"/>
      <c r="X48" s="127"/>
      <c r="Y48" s="127"/>
      <c r="Z48" s="127"/>
      <c r="AA48" s="127"/>
      <c r="AB48" s="127"/>
      <c r="AC48" s="127"/>
      <c r="AD48" s="127"/>
      <c r="AE48" s="127"/>
      <c r="AF48" s="127"/>
      <c r="AG48" s="134" t="str">
        <f t="shared" si="2"/>
        <v/>
      </c>
      <c r="AH48" s="128" t="str" cm="1">
        <f t="array" ref="AH48">IF($A48="","",SUMPRODUCT((ROW(Beheer!$B$7:$B$36)-ROW(Beheer!$B$7)+1&lt;=Beheer!$C$4)*IFERROR(Beheer!$B$7:$B$36*1,0)))</f>
        <v/>
      </c>
      <c r="AI48" s="135">
        <f t="shared" si="3"/>
        <v>-1</v>
      </c>
    </row>
    <row r="49" spans="1:35" ht="24" customHeight="1" x14ac:dyDescent="0.45">
      <c r="A49" s="77" t="str" cm="1">
        <f t="array" ref="A49">IFERROR(IF(INDEX(Beheer!$F$7:$F$66,ROWS($A$2:A49))="","",INDEX(Beheer!$F$7:$F$66,ROWS($A$2:A49))),"")</f>
        <v/>
      </c>
      <c r="B49" s="122"/>
      <c r="C49" s="75"/>
      <c r="D49" s="75"/>
      <c r="E49" s="75"/>
      <c r="F49" s="75"/>
      <c r="G49" s="75"/>
      <c r="H49" s="75"/>
      <c r="I49" s="75"/>
      <c r="J49" s="75"/>
      <c r="K49" s="75"/>
      <c r="L49" s="75"/>
      <c r="M49" s="75"/>
      <c r="N49" s="75"/>
      <c r="O49" s="75"/>
      <c r="P49" s="75"/>
      <c r="Q49" s="75"/>
      <c r="R49" s="75"/>
      <c r="S49" s="75"/>
      <c r="T49" s="75"/>
      <c r="U49" s="75"/>
      <c r="V49" s="75"/>
      <c r="W49" s="75"/>
      <c r="X49" s="75"/>
      <c r="Y49" s="75"/>
      <c r="Z49" s="75"/>
      <c r="AA49" s="75"/>
      <c r="AB49" s="75"/>
      <c r="AC49" s="75"/>
      <c r="AD49" s="75"/>
      <c r="AE49" s="75"/>
      <c r="AF49" s="75"/>
      <c r="AG49" s="133" t="str">
        <f t="shared" si="2"/>
        <v/>
      </c>
      <c r="AH49" s="76" t="str" cm="1">
        <f t="array" ref="AH49">IF($A49="","",SUMPRODUCT((ROW(Beheer!$B$7:$B$36)-ROW(Beheer!$B$7)+1&lt;=Beheer!$C$4)*IFERROR(Beheer!$B$7:$B$36*1,0)))</f>
        <v/>
      </c>
      <c r="AI49" s="132">
        <f t="shared" si="3"/>
        <v>-1</v>
      </c>
    </row>
    <row r="50" spans="1:35" ht="24" customHeight="1" x14ac:dyDescent="0.45">
      <c r="A50" s="129" t="str" cm="1">
        <f t="array" ref="A50">IFERROR(IF(INDEX(Beheer!$F$7:$F$66,ROWS($A$2:A50))="","",INDEX(Beheer!$F$7:$F$66,ROWS($A$2:A50))),"")</f>
        <v/>
      </c>
      <c r="B50" s="126"/>
      <c r="C50" s="127"/>
      <c r="D50" s="127"/>
      <c r="E50" s="127"/>
      <c r="F50" s="127"/>
      <c r="G50" s="127"/>
      <c r="H50" s="127"/>
      <c r="I50" s="127"/>
      <c r="J50" s="127"/>
      <c r="K50" s="127"/>
      <c r="L50" s="127"/>
      <c r="M50" s="127"/>
      <c r="N50" s="127"/>
      <c r="O50" s="127"/>
      <c r="P50" s="127"/>
      <c r="Q50" s="127"/>
      <c r="R50" s="127"/>
      <c r="S50" s="127"/>
      <c r="T50" s="127"/>
      <c r="U50" s="127"/>
      <c r="V50" s="127"/>
      <c r="W50" s="127"/>
      <c r="X50" s="127"/>
      <c r="Y50" s="127"/>
      <c r="Z50" s="127"/>
      <c r="AA50" s="127"/>
      <c r="AB50" s="127"/>
      <c r="AC50" s="127"/>
      <c r="AD50" s="127"/>
      <c r="AE50" s="127"/>
      <c r="AF50" s="127"/>
      <c r="AG50" s="134" t="str">
        <f t="shared" si="2"/>
        <v/>
      </c>
      <c r="AH50" s="128" t="str" cm="1">
        <f t="array" ref="AH50">IF($A50="","",SUMPRODUCT((ROW(Beheer!$B$7:$B$36)-ROW(Beheer!$B$7)+1&lt;=Beheer!$C$4)*IFERROR(Beheer!$B$7:$B$36*1,0)))</f>
        <v/>
      </c>
      <c r="AI50" s="135">
        <f t="shared" si="3"/>
        <v>-1</v>
      </c>
    </row>
    <row r="51" spans="1:35" ht="24" customHeight="1" x14ac:dyDescent="0.45">
      <c r="A51" s="77" t="str" cm="1">
        <f t="array" ref="A51">IFERROR(IF(INDEX(Beheer!$F$7:$F$66,ROWS($A$2:A51))="","",INDEX(Beheer!$F$7:$F$66,ROWS($A$2:A51))),"")</f>
        <v/>
      </c>
      <c r="B51" s="122"/>
      <c r="C51" s="75"/>
      <c r="D51" s="75"/>
      <c r="E51" s="75"/>
      <c r="F51" s="75"/>
      <c r="G51" s="75"/>
      <c r="H51" s="75"/>
      <c r="I51" s="75"/>
      <c r="J51" s="75"/>
      <c r="K51" s="75"/>
      <c r="L51" s="75"/>
      <c r="M51" s="75"/>
      <c r="N51" s="75"/>
      <c r="O51" s="75"/>
      <c r="P51" s="75"/>
      <c r="Q51" s="75"/>
      <c r="R51" s="75"/>
      <c r="S51" s="75"/>
      <c r="T51" s="75"/>
      <c r="U51" s="75"/>
      <c r="V51" s="75"/>
      <c r="W51" s="75"/>
      <c r="X51" s="75"/>
      <c r="Y51" s="75"/>
      <c r="Z51" s="75"/>
      <c r="AA51" s="75"/>
      <c r="AB51" s="75"/>
      <c r="AC51" s="75"/>
      <c r="AD51" s="75"/>
      <c r="AE51" s="75"/>
      <c r="AF51" s="75"/>
      <c r="AG51" s="133" t="str">
        <f t="shared" si="2"/>
        <v/>
      </c>
      <c r="AH51" s="76" t="str" cm="1">
        <f t="array" ref="AH51">IF($A51="","",SUMPRODUCT((ROW(Beheer!$B$7:$B$36)-ROW(Beheer!$B$7)+1&lt;=Beheer!$C$4)*IFERROR(Beheer!$B$7:$B$36*1,0)))</f>
        <v/>
      </c>
      <c r="AI51" s="132">
        <f t="shared" si="3"/>
        <v>-1</v>
      </c>
    </row>
    <row r="52" spans="1:35" ht="24" customHeight="1" x14ac:dyDescent="0.45">
      <c r="A52" s="129" t="str" cm="1">
        <f t="array" ref="A52">IFERROR(IF(INDEX(Beheer!$F$7:$F$66,ROWS($A$2:A52))="","",INDEX(Beheer!$F$7:$F$66,ROWS($A$2:A52))),"")</f>
        <v/>
      </c>
      <c r="B52" s="126"/>
      <c r="C52" s="127"/>
      <c r="D52" s="127"/>
      <c r="E52" s="127"/>
      <c r="F52" s="127"/>
      <c r="G52" s="127"/>
      <c r="H52" s="127"/>
      <c r="I52" s="127"/>
      <c r="J52" s="127"/>
      <c r="K52" s="127"/>
      <c r="L52" s="127"/>
      <c r="M52" s="127"/>
      <c r="N52" s="127"/>
      <c r="O52" s="127"/>
      <c r="P52" s="127"/>
      <c r="Q52" s="127"/>
      <c r="R52" s="127"/>
      <c r="S52" s="127"/>
      <c r="T52" s="127"/>
      <c r="U52" s="127"/>
      <c r="V52" s="127"/>
      <c r="W52" s="127"/>
      <c r="X52" s="127"/>
      <c r="Y52" s="127"/>
      <c r="Z52" s="127"/>
      <c r="AA52" s="127"/>
      <c r="AB52" s="127"/>
      <c r="AC52" s="127"/>
      <c r="AD52" s="127"/>
      <c r="AE52" s="127"/>
      <c r="AF52" s="127"/>
      <c r="AG52" s="134" t="str">
        <f t="shared" si="2"/>
        <v/>
      </c>
      <c r="AH52" s="128" t="str" cm="1">
        <f t="array" ref="AH52">IF($A52="","",SUMPRODUCT((ROW(Beheer!$B$7:$B$36)-ROW(Beheer!$B$7)+1&lt;=Beheer!$C$4)*IFERROR(Beheer!$B$7:$B$36*1,0)))</f>
        <v/>
      </c>
      <c r="AI52" s="135">
        <f t="shared" si="3"/>
        <v>-1</v>
      </c>
    </row>
    <row r="53" spans="1:35" ht="24" customHeight="1" x14ac:dyDescent="0.45">
      <c r="A53" s="77" t="str" cm="1">
        <f t="array" ref="A53">IFERROR(IF(INDEX(Beheer!$F$7:$F$66,ROWS($A$2:A53))="","",INDEX(Beheer!$F$7:$F$66,ROWS($A$2:A53))),"")</f>
        <v/>
      </c>
      <c r="B53" s="122"/>
      <c r="C53" s="75"/>
      <c r="D53" s="75"/>
      <c r="E53" s="75"/>
      <c r="F53" s="75"/>
      <c r="G53" s="75"/>
      <c r="H53" s="75"/>
      <c r="I53" s="75"/>
      <c r="J53" s="75"/>
      <c r="K53" s="75"/>
      <c r="L53" s="75"/>
      <c r="M53" s="75"/>
      <c r="N53" s="75"/>
      <c r="O53" s="75"/>
      <c r="P53" s="75"/>
      <c r="Q53" s="75"/>
      <c r="R53" s="75"/>
      <c r="S53" s="75"/>
      <c r="T53" s="75"/>
      <c r="U53" s="75"/>
      <c r="V53" s="75"/>
      <c r="W53" s="75"/>
      <c r="X53" s="75"/>
      <c r="Y53" s="75"/>
      <c r="Z53" s="75"/>
      <c r="AA53" s="75"/>
      <c r="AB53" s="75"/>
      <c r="AC53" s="75"/>
      <c r="AD53" s="75"/>
      <c r="AE53" s="75"/>
      <c r="AF53" s="75"/>
      <c r="AG53" s="133" t="str">
        <f t="shared" si="2"/>
        <v/>
      </c>
      <c r="AH53" s="76" t="str" cm="1">
        <f t="array" ref="AH53">IF($A53="","",SUMPRODUCT((ROW(Beheer!$B$7:$B$36)-ROW(Beheer!$B$7)+1&lt;=Beheer!$C$4)*IFERROR(Beheer!$B$7:$B$36*1,0)))</f>
        <v/>
      </c>
      <c r="AI53" s="132">
        <f t="shared" si="3"/>
        <v>-1</v>
      </c>
    </row>
    <row r="54" spans="1:35" ht="24" customHeight="1" x14ac:dyDescent="0.45">
      <c r="A54" s="129" t="str" cm="1">
        <f t="array" ref="A54">IFERROR(IF(INDEX(Beheer!$F$7:$F$66,ROWS($A$2:A54))="","",INDEX(Beheer!$F$7:$F$66,ROWS($A$2:A54))),"")</f>
        <v/>
      </c>
      <c r="B54" s="126"/>
      <c r="C54" s="127"/>
      <c r="D54" s="127"/>
      <c r="E54" s="127"/>
      <c r="F54" s="127"/>
      <c r="G54" s="127"/>
      <c r="H54" s="127"/>
      <c r="I54" s="127"/>
      <c r="J54" s="127"/>
      <c r="K54" s="127"/>
      <c r="L54" s="127"/>
      <c r="M54" s="127"/>
      <c r="N54" s="127"/>
      <c r="O54" s="127"/>
      <c r="P54" s="127"/>
      <c r="Q54" s="127"/>
      <c r="R54" s="127"/>
      <c r="S54" s="127"/>
      <c r="T54" s="127"/>
      <c r="U54" s="127"/>
      <c r="V54" s="127"/>
      <c r="W54" s="127"/>
      <c r="X54" s="127"/>
      <c r="Y54" s="127"/>
      <c r="Z54" s="127"/>
      <c r="AA54" s="127"/>
      <c r="AB54" s="127"/>
      <c r="AC54" s="127"/>
      <c r="AD54" s="127"/>
      <c r="AE54" s="127"/>
      <c r="AF54" s="127"/>
      <c r="AG54" s="134" t="str">
        <f t="shared" si="2"/>
        <v/>
      </c>
      <c r="AH54" s="128" t="str" cm="1">
        <f t="array" ref="AH54">IF($A54="","",SUMPRODUCT((ROW(Beheer!$B$7:$B$36)-ROW(Beheer!$B$7)+1&lt;=Beheer!$C$4)*IFERROR(Beheer!$B$7:$B$36*1,0)))</f>
        <v/>
      </c>
      <c r="AI54" s="135">
        <f t="shared" si="3"/>
        <v>-1</v>
      </c>
    </row>
    <row r="55" spans="1:35" ht="24" customHeight="1" x14ac:dyDescent="0.45">
      <c r="A55" s="77" t="str" cm="1">
        <f t="array" ref="A55">IFERROR(IF(INDEX(Beheer!$F$7:$F$66,ROWS($A$2:A55))="","",INDEX(Beheer!$F$7:$F$66,ROWS($A$2:A55))),"")</f>
        <v/>
      </c>
      <c r="B55" s="122"/>
      <c r="C55" s="75"/>
      <c r="D55" s="75"/>
      <c r="E55" s="75"/>
      <c r="F55" s="75"/>
      <c r="G55" s="75"/>
      <c r="H55" s="75"/>
      <c r="I55" s="75"/>
      <c r="J55" s="75"/>
      <c r="K55" s="75"/>
      <c r="L55" s="75"/>
      <c r="M55" s="75"/>
      <c r="N55" s="75"/>
      <c r="O55" s="75"/>
      <c r="P55" s="75"/>
      <c r="Q55" s="75"/>
      <c r="R55" s="75"/>
      <c r="S55" s="75"/>
      <c r="T55" s="75"/>
      <c r="U55" s="75"/>
      <c r="V55" s="75"/>
      <c r="W55" s="75"/>
      <c r="X55" s="75"/>
      <c r="Y55" s="75"/>
      <c r="Z55" s="75"/>
      <c r="AA55" s="75"/>
      <c r="AB55" s="75"/>
      <c r="AC55" s="75"/>
      <c r="AD55" s="75"/>
      <c r="AE55" s="75"/>
      <c r="AF55" s="75"/>
      <c r="AG55" s="133" t="str">
        <f t="shared" si="2"/>
        <v/>
      </c>
      <c r="AH55" s="76" t="str" cm="1">
        <f t="array" ref="AH55">IF($A55="","",SUMPRODUCT((ROW(Beheer!$B$7:$B$36)-ROW(Beheer!$B$7)+1&lt;=Beheer!$C$4)*IFERROR(Beheer!$B$7:$B$36*1,0)))</f>
        <v/>
      </c>
      <c r="AI55" s="132">
        <f t="shared" si="3"/>
        <v>-1</v>
      </c>
    </row>
    <row r="56" spans="1:35" ht="24" customHeight="1" x14ac:dyDescent="0.45">
      <c r="A56" s="129" t="str" cm="1">
        <f t="array" ref="A56">IFERROR(IF(INDEX(Beheer!$F$7:$F$66,ROWS($A$2:A56))="","",INDEX(Beheer!$F$7:$F$66,ROWS($A$2:A56))),"")</f>
        <v/>
      </c>
      <c r="B56" s="126"/>
      <c r="C56" s="127"/>
      <c r="D56" s="127"/>
      <c r="E56" s="127"/>
      <c r="F56" s="127"/>
      <c r="G56" s="127"/>
      <c r="H56" s="127"/>
      <c r="I56" s="127"/>
      <c r="J56" s="127"/>
      <c r="K56" s="127"/>
      <c r="L56" s="127"/>
      <c r="M56" s="127"/>
      <c r="N56" s="127"/>
      <c r="O56" s="127"/>
      <c r="P56" s="127"/>
      <c r="Q56" s="127"/>
      <c r="R56" s="127"/>
      <c r="S56" s="127"/>
      <c r="T56" s="127"/>
      <c r="U56" s="127"/>
      <c r="V56" s="127"/>
      <c r="W56" s="127"/>
      <c r="X56" s="127"/>
      <c r="Y56" s="127"/>
      <c r="Z56" s="127"/>
      <c r="AA56" s="127"/>
      <c r="AB56" s="127"/>
      <c r="AC56" s="127"/>
      <c r="AD56" s="127"/>
      <c r="AE56" s="127"/>
      <c r="AF56" s="127"/>
      <c r="AG56" s="134" t="str">
        <f t="shared" si="2"/>
        <v/>
      </c>
      <c r="AH56" s="128" t="str" cm="1">
        <f t="array" ref="AH56">IF($A56="","",SUMPRODUCT((ROW(Beheer!$B$7:$B$36)-ROW(Beheer!$B$7)+1&lt;=Beheer!$C$4)*IFERROR(Beheer!$B$7:$B$36*1,0)))</f>
        <v/>
      </c>
      <c r="AI56" s="135">
        <f t="shared" si="3"/>
        <v>-1</v>
      </c>
    </row>
    <row r="57" spans="1:35" ht="24" customHeight="1" x14ac:dyDescent="0.45">
      <c r="A57" s="77" t="str" cm="1">
        <f t="array" ref="A57">IFERROR(IF(INDEX(Beheer!$F$7:$F$66,ROWS($A$2:A57))="","",INDEX(Beheer!$F$7:$F$66,ROWS($A$2:A57))),"")</f>
        <v/>
      </c>
      <c r="B57" s="122"/>
      <c r="C57" s="75"/>
      <c r="D57" s="75"/>
      <c r="E57" s="75"/>
      <c r="F57" s="75"/>
      <c r="G57" s="75"/>
      <c r="H57" s="75"/>
      <c r="I57" s="75"/>
      <c r="J57" s="75"/>
      <c r="K57" s="75"/>
      <c r="L57" s="75"/>
      <c r="M57" s="75"/>
      <c r="N57" s="75"/>
      <c r="O57" s="75"/>
      <c r="P57" s="75"/>
      <c r="Q57" s="75"/>
      <c r="R57" s="75"/>
      <c r="S57" s="75"/>
      <c r="T57" s="75"/>
      <c r="U57" s="75"/>
      <c r="V57" s="75"/>
      <c r="W57" s="75"/>
      <c r="X57" s="75"/>
      <c r="Y57" s="75"/>
      <c r="Z57" s="75"/>
      <c r="AA57" s="75"/>
      <c r="AB57" s="75"/>
      <c r="AC57" s="75"/>
      <c r="AD57" s="75"/>
      <c r="AE57" s="75"/>
      <c r="AF57" s="75"/>
      <c r="AG57" s="133" t="str">
        <f t="shared" si="2"/>
        <v/>
      </c>
      <c r="AH57" s="76" t="str" cm="1">
        <f t="array" ref="AH57">IF($A57="","",SUMPRODUCT((ROW(Beheer!$B$7:$B$36)-ROW(Beheer!$B$7)+1&lt;=Beheer!$C$4)*IFERROR(Beheer!$B$7:$B$36*1,0)))</f>
        <v/>
      </c>
      <c r="AI57" s="132">
        <f t="shared" si="3"/>
        <v>-1</v>
      </c>
    </row>
    <row r="58" spans="1:35" ht="24" customHeight="1" x14ac:dyDescent="0.45">
      <c r="A58" s="129" t="str" cm="1">
        <f t="array" ref="A58">IFERROR(IF(INDEX(Beheer!$F$7:$F$66,ROWS($A$2:A58))="","",INDEX(Beheer!$F$7:$F$66,ROWS($A$2:A58))),"")</f>
        <v/>
      </c>
      <c r="B58" s="126"/>
      <c r="C58" s="127"/>
      <c r="D58" s="127"/>
      <c r="E58" s="127"/>
      <c r="F58" s="127"/>
      <c r="G58" s="127"/>
      <c r="H58" s="127"/>
      <c r="I58" s="127"/>
      <c r="J58" s="127"/>
      <c r="K58" s="127"/>
      <c r="L58" s="127"/>
      <c r="M58" s="127"/>
      <c r="N58" s="127"/>
      <c r="O58" s="127"/>
      <c r="P58" s="127"/>
      <c r="Q58" s="127"/>
      <c r="R58" s="127"/>
      <c r="S58" s="127"/>
      <c r="T58" s="127"/>
      <c r="U58" s="127"/>
      <c r="V58" s="127"/>
      <c r="W58" s="127"/>
      <c r="X58" s="127"/>
      <c r="Y58" s="127"/>
      <c r="Z58" s="127"/>
      <c r="AA58" s="127"/>
      <c r="AB58" s="127"/>
      <c r="AC58" s="127"/>
      <c r="AD58" s="127"/>
      <c r="AE58" s="127"/>
      <c r="AF58" s="127"/>
      <c r="AG58" s="134" t="str">
        <f t="shared" si="2"/>
        <v/>
      </c>
      <c r="AH58" s="128" t="str" cm="1">
        <f t="array" ref="AH58">IF($A58="","",SUMPRODUCT((ROW(Beheer!$B$7:$B$36)-ROW(Beheer!$B$7)+1&lt;=Beheer!$C$4)*IFERROR(Beheer!$B$7:$B$36*1,0)))</f>
        <v/>
      </c>
      <c r="AI58" s="135">
        <f t="shared" si="3"/>
        <v>-1</v>
      </c>
    </row>
    <row r="59" spans="1:35" ht="24" customHeight="1" x14ac:dyDescent="0.45">
      <c r="A59" s="77" t="str" cm="1">
        <f t="array" ref="A59">IFERROR(IF(INDEX(Beheer!$F$7:$F$66,ROWS($A$2:A59))="","",INDEX(Beheer!$F$7:$F$66,ROWS($A$2:A59))),"")</f>
        <v/>
      </c>
      <c r="B59" s="122"/>
      <c r="C59" s="75"/>
      <c r="D59" s="75"/>
      <c r="E59" s="75"/>
      <c r="F59" s="75"/>
      <c r="G59" s="75"/>
      <c r="H59" s="75"/>
      <c r="I59" s="75"/>
      <c r="J59" s="75"/>
      <c r="K59" s="75"/>
      <c r="L59" s="75"/>
      <c r="M59" s="75"/>
      <c r="N59" s="75"/>
      <c r="O59" s="75"/>
      <c r="P59" s="75"/>
      <c r="Q59" s="75"/>
      <c r="R59" s="75"/>
      <c r="S59" s="75"/>
      <c r="T59" s="75"/>
      <c r="U59" s="75"/>
      <c r="V59" s="75"/>
      <c r="W59" s="75"/>
      <c r="X59" s="75"/>
      <c r="Y59" s="75"/>
      <c r="Z59" s="75"/>
      <c r="AA59" s="75"/>
      <c r="AB59" s="75"/>
      <c r="AC59" s="75"/>
      <c r="AD59" s="75"/>
      <c r="AE59" s="75"/>
      <c r="AF59" s="75"/>
      <c r="AG59" s="133" t="str">
        <f t="shared" si="2"/>
        <v/>
      </c>
      <c r="AH59" s="76" t="str" cm="1">
        <f t="array" ref="AH59">IF($A59="","",SUMPRODUCT((ROW(Beheer!$B$7:$B$36)-ROW(Beheer!$B$7)+1&lt;=Beheer!$C$4)*IFERROR(Beheer!$B$7:$B$36*1,0)))</f>
        <v/>
      </c>
      <c r="AI59" s="132">
        <f t="shared" si="3"/>
        <v>-1</v>
      </c>
    </row>
    <row r="60" spans="1:35" ht="24" customHeight="1" x14ac:dyDescent="0.45">
      <c r="A60" s="129" t="str" cm="1">
        <f t="array" ref="A60">IFERROR(IF(INDEX(Beheer!$F$7:$F$66,ROWS($A$2:A60))="","",INDEX(Beheer!$F$7:$F$66,ROWS($A$2:A60))),"")</f>
        <v/>
      </c>
      <c r="B60" s="126"/>
      <c r="C60" s="127"/>
      <c r="D60" s="127"/>
      <c r="E60" s="127"/>
      <c r="F60" s="127"/>
      <c r="G60" s="127"/>
      <c r="H60" s="127"/>
      <c r="I60" s="127"/>
      <c r="J60" s="127"/>
      <c r="K60" s="127"/>
      <c r="L60" s="127"/>
      <c r="M60" s="127"/>
      <c r="N60" s="127"/>
      <c r="O60" s="127"/>
      <c r="P60" s="127"/>
      <c r="Q60" s="127"/>
      <c r="R60" s="127"/>
      <c r="S60" s="127"/>
      <c r="T60" s="127"/>
      <c r="U60" s="127"/>
      <c r="V60" s="127"/>
      <c r="W60" s="127"/>
      <c r="X60" s="127"/>
      <c r="Y60" s="127"/>
      <c r="Z60" s="127"/>
      <c r="AA60" s="127"/>
      <c r="AB60" s="127"/>
      <c r="AC60" s="127"/>
      <c r="AD60" s="127"/>
      <c r="AE60" s="127"/>
      <c r="AF60" s="127"/>
      <c r="AG60" s="134" t="str">
        <f t="shared" si="2"/>
        <v/>
      </c>
      <c r="AH60" s="128" t="str" cm="1">
        <f t="array" ref="AH60">IF($A60="","",SUMPRODUCT((ROW(Beheer!$B$7:$B$36)-ROW(Beheer!$B$7)+1&lt;=Beheer!$C$4)*IFERROR(Beheer!$B$7:$B$36*1,0)))</f>
        <v/>
      </c>
      <c r="AI60" s="135">
        <f t="shared" si="3"/>
        <v>-1</v>
      </c>
    </row>
    <row r="61" spans="1:35" ht="24" customHeight="1" x14ac:dyDescent="0.45">
      <c r="A61" s="77" t="str" cm="1">
        <f t="array" ref="A61">IFERROR(IF(INDEX(Beheer!$F$7:$F$66,ROWS($A$2:A61))="","",INDEX(Beheer!$F$7:$F$66,ROWS($A$2:A61))),"")</f>
        <v/>
      </c>
      <c r="B61" s="122"/>
      <c r="C61" s="75"/>
      <c r="D61" s="75"/>
      <c r="E61" s="75"/>
      <c r="F61" s="75"/>
      <c r="G61" s="75"/>
      <c r="H61" s="75"/>
      <c r="I61" s="75"/>
      <c r="J61" s="75"/>
      <c r="K61" s="75"/>
      <c r="L61" s="75"/>
      <c r="M61" s="75"/>
      <c r="N61" s="75"/>
      <c r="O61" s="75"/>
      <c r="P61" s="75"/>
      <c r="Q61" s="75"/>
      <c r="R61" s="75"/>
      <c r="S61" s="75"/>
      <c r="T61" s="75"/>
      <c r="U61" s="75"/>
      <c r="V61" s="75"/>
      <c r="W61" s="75"/>
      <c r="X61" s="75"/>
      <c r="Y61" s="75"/>
      <c r="Z61" s="75"/>
      <c r="AA61" s="75"/>
      <c r="AB61" s="75"/>
      <c r="AC61" s="75"/>
      <c r="AD61" s="75"/>
      <c r="AE61" s="75"/>
      <c r="AF61" s="75"/>
      <c r="AG61" s="133" t="str">
        <f t="shared" si="2"/>
        <v/>
      </c>
      <c r="AH61" s="76" t="str" cm="1">
        <f t="array" ref="AH61">IF($A61="","",SUMPRODUCT((ROW(Beheer!$B$7:$B$36)-ROW(Beheer!$B$7)+1&lt;=Beheer!$C$4)*IFERROR(Beheer!$B$7:$B$36*1,0)))</f>
        <v/>
      </c>
      <c r="AI61" s="132">
        <f t="shared" si="3"/>
        <v>-1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5EA705-5EFE-4392-A9CC-35077D7F5958}">
  <dimension ref="A1:AG61"/>
  <sheetViews>
    <sheetView zoomScaleNormal="100" workbookViewId="0">
      <pane xSplit="3" ySplit="1" topLeftCell="D2" activePane="bottomRight" state="frozen"/>
      <selection pane="topRight" activeCell="D1" sqref="D1"/>
      <selection pane="bottomLeft" activeCell="A2" sqref="A2"/>
      <selection pane="bottomRight" activeCell="D2" sqref="D2"/>
    </sheetView>
  </sheetViews>
  <sheetFormatPr defaultRowHeight="14.25" x14ac:dyDescent="0.45"/>
  <cols>
    <col min="1" max="1" width="10.6640625" style="41" customWidth="1"/>
    <col min="2" max="2" width="29.46484375" style="103" customWidth="1"/>
    <col min="3" max="3" width="14" style="41" customWidth="1"/>
    <col min="4" max="33" width="12.46484375" style="41" customWidth="1"/>
    <col min="34" max="16384" width="9.06640625" style="41"/>
  </cols>
  <sheetData>
    <row r="1" spans="1:33" ht="32" customHeight="1" thickBot="1" x14ac:dyDescent="0.5">
      <c r="A1" s="42" t="s">
        <v>29</v>
      </c>
      <c r="B1" s="100" t="s">
        <v>0</v>
      </c>
      <c r="C1" s="45" t="s">
        <v>2</v>
      </c>
      <c r="D1" s="42" t="str" cm="1">
        <f t="array" ref="D1">IFERROR(IF(COLUMNS($D1:D1)&lt;=Beheer!$C$4,IF(LEFT(INDEX(Beheer!$C$7:$C$36,COLUMNS($D1:D1)),6)="Ronde ","R"&amp;MID(INDEX(Beheer!$C$7:$C$36,COLUMNS($D1:D1)),7,10),LEFT(INDEX(Beheer!$C$7:$C$36,COLUMNS($D1:D1)),7)),""),"")</f>
        <v>Rond de</v>
      </c>
      <c r="E1" s="43" t="str" cm="1">
        <f t="array" ref="E1">IFERROR(IF(COLUMNS($D1:E1)&lt;=Beheer!$C$4,IF(LEFT(INDEX(Beheer!$C$7:$C$36,COLUMNS($D1:E1)),6)="Ronde ","R"&amp;MID(INDEX(Beheer!$C$7:$C$36,COLUMNS($D1:E1)),7,10),LEFT(INDEX(Beheer!$C$7:$C$36,COLUMNS($D1:E1)),7)),""),"")</f>
        <v>Woordsl</v>
      </c>
      <c r="F1" s="43" t="str" cm="1">
        <f t="array" ref="F1">IFERROR(IF(COLUMNS($D1:F1)&lt;=Beheer!$C$4,IF(LEFT(INDEX(Beheer!$C$7:$C$36,COLUMNS($D1:F1)),6)="Ronde ","R"&amp;MID(INDEX(Beheer!$C$7:$C$36,COLUMNS($D1:F1)),7,10),LEFT(INDEX(Beheer!$C$7:$C$36,COLUMNS($D1:F1)),7)),""),"")</f>
        <v>Lokaal</v>
      </c>
      <c r="G1" s="43" t="str" cm="1">
        <f t="array" ref="G1">IFERROR(IF(COLUMNS($D1:G1)&lt;=Beheer!$C$4,IF(LEFT(INDEX(Beheer!$C$7:$C$36,COLUMNS($D1:G1)),6)="Ronde ","R"&amp;MID(INDEX(Beheer!$C$7:$C$36,COLUMNS($D1:G1)),7,10),LEFT(INDEX(Beheer!$C$7:$C$36,COLUMNS($D1:G1)),7)),""),"")</f>
        <v>Tussenr</v>
      </c>
      <c r="H1" s="43" t="str" cm="1">
        <f t="array" ref="H1">IFERROR(IF(COLUMNS($D1:H1)&lt;=Beheer!$C$4,IF(LEFT(INDEX(Beheer!$C$7:$C$36,COLUMNS($D1:H1)),6)="Ronde ","R"&amp;MID(INDEX(Beheer!$C$7:$C$36,COLUMNS($D1:H1)),7,10),LEFT(INDEX(Beheer!$C$7:$C$36,COLUMNS($D1:H1)),7)),""),"")</f>
        <v>Actua</v>
      </c>
      <c r="I1" s="43" t="str" cm="1">
        <f t="array" ref="I1">IFERROR(IF(COLUMNS($D1:I1)&lt;=Beheer!$C$4,IF(LEFT(INDEX(Beheer!$C$7:$C$36,COLUMNS($D1:I1)),6)="Ronde ","R"&amp;MID(INDEX(Beheer!$C$7:$C$36,COLUMNS($D1:I1)),7,10),LEFT(INDEX(Beheer!$C$7:$C$36,COLUMNS($D1:I1)),7)),""),"")</f>
        <v>Film</v>
      </c>
      <c r="J1" s="43" t="str" cm="1">
        <f t="array" ref="J1">IFERROR(IF(COLUMNS($D1:J1)&lt;=Beheer!$C$4,IF(LEFT(INDEX(Beheer!$C$7:$C$36,COLUMNS($D1:J1)),6)="Ronde ","R"&amp;MID(INDEX(Beheer!$C$7:$C$36,COLUMNS($D1:J1)),7,10),LEFT(INDEX(Beheer!$C$7:$C$36,COLUMNS($D1:J1)),7)),""),"")</f>
        <v>Fauna e</v>
      </c>
      <c r="K1" s="43" t="str" cm="1">
        <f t="array" ref="K1">IFERROR(IF(COLUMNS($D1:K1)&lt;=Beheer!$C$4,IF(LEFT(INDEX(Beheer!$C$7:$C$36,COLUMNS($D1:K1)),6)="Ronde ","R"&amp;MID(INDEX(Beheer!$C$7:$C$36,COLUMNS($D1:K1)),7,10),LEFT(INDEX(Beheer!$C$7:$C$36,COLUMNS($D1:K1)),7)),""),"")</f>
        <v>Tussenr</v>
      </c>
      <c r="L1" s="43" t="str" cm="1">
        <f t="array" ref="L1">IFERROR(IF(COLUMNS($D1:L1)&lt;=Beheer!$C$4,IF(LEFT(INDEX(Beheer!$C$7:$C$36,COLUMNS($D1:L1)),6)="Ronde ","R"&amp;MID(INDEX(Beheer!$C$7:$C$36,COLUMNS($D1:L1)),7,10),LEFT(INDEX(Beheer!$C$7:$C$36,COLUMNS($D1:L1)),7)),""),"")</f>
        <v>Muziek</v>
      </c>
      <c r="M1" s="43" t="str" cm="1">
        <f t="array" ref="M1">IFERROR(IF(COLUMNS($D1:M1)&lt;=Beheer!$C$4,IF(LEFT(INDEX(Beheer!$C$7:$C$36,COLUMNS($D1:M1)),6)="Ronde ","R"&amp;MID(INDEX(Beheer!$C$7:$C$36,COLUMNS($D1:M1)),7,10),LEFT(INDEX(Beheer!$C$7:$C$36,COLUMNS($D1:M1)),7)),""),"")</f>
        <v>Kleuren</v>
      </c>
      <c r="N1" s="43" t="str" cm="1">
        <f t="array" ref="N1">IFERROR(IF(COLUMNS($D1:N1)&lt;=Beheer!$C$4,IF(LEFT(INDEX(Beheer!$C$7:$C$36,COLUMNS($D1:N1)),6)="Ronde ","R"&amp;MID(INDEX(Beheer!$C$7:$C$36,COLUMNS($D1:N1)),7,10),LEFT(INDEX(Beheer!$C$7:$C$36,COLUMNS($D1:N1)),7)),""),"")</f>
        <v>Tussenr</v>
      </c>
      <c r="O1" s="43" t="str" cm="1">
        <f t="array" ref="O1">IFERROR(IF(COLUMNS($D1:O1)&lt;=Beheer!$C$4,IF(LEFT(INDEX(Beheer!$C$7:$C$36,COLUMNS($D1:O1)),6)="Ronde ","R"&amp;MID(INDEX(Beheer!$C$7:$C$36,COLUMNS($D1:O1)),7,10),LEFT(INDEX(Beheer!$C$7:$C$36,COLUMNS($D1:O1)),7)),""),"")</f>
        <v>Eindspe</v>
      </c>
      <c r="P1" s="43" t="str" cm="1">
        <f t="array" ref="P1">IFERROR(IF(COLUMNS($D1:P1)&lt;=Beheer!$C$4,IF(LEFT(INDEX(Beheer!$C$7:$C$36,COLUMNS($D1:P1)),6)="Ronde ","R"&amp;MID(INDEX(Beheer!$C$7:$C$36,COLUMNS($D1:P1)),7,10),LEFT(INDEX(Beheer!$C$7:$C$36,COLUMNS($D1:P1)),7)),""),"")</f>
        <v/>
      </c>
      <c r="Q1" s="43" t="str" cm="1">
        <f t="array" ref="Q1">IFERROR(IF(COLUMNS($D1:Q1)&lt;=Beheer!$C$4,IF(LEFT(INDEX(Beheer!$C$7:$C$36,COLUMNS($D1:Q1)),6)="Ronde ","R"&amp;MID(INDEX(Beheer!$C$7:$C$36,COLUMNS($D1:Q1)),7,10),LEFT(INDEX(Beheer!$C$7:$C$36,COLUMNS($D1:Q1)),7)),""),"")</f>
        <v/>
      </c>
      <c r="R1" s="43" t="str" cm="1">
        <f t="array" ref="R1">IFERROR(IF(COLUMNS($D1:R1)&lt;=Beheer!$C$4,IF(LEFT(INDEX(Beheer!$C$7:$C$36,COLUMNS($D1:R1)),6)="Ronde ","R"&amp;MID(INDEX(Beheer!$C$7:$C$36,COLUMNS($D1:R1)),7,10),LEFT(INDEX(Beheer!$C$7:$C$36,COLUMNS($D1:R1)),7)),""),"")</f>
        <v/>
      </c>
      <c r="S1" s="43" t="str" cm="1">
        <f t="array" ref="S1">IFERROR(IF(COLUMNS($D1:S1)&lt;=Beheer!$C$4,IF(LEFT(INDEX(Beheer!$C$7:$C$36,COLUMNS($D1:S1)),6)="Ronde ","R"&amp;MID(INDEX(Beheer!$C$7:$C$36,COLUMNS($D1:S1)),7,10),LEFT(INDEX(Beheer!$C$7:$C$36,COLUMNS($D1:S1)),7)),""),"")</f>
        <v/>
      </c>
      <c r="T1" s="43" t="str" cm="1">
        <f t="array" ref="T1">IFERROR(IF(COLUMNS($D1:T1)&lt;=Beheer!$C$4,IF(LEFT(INDEX(Beheer!$C$7:$C$36,COLUMNS($D1:T1)),6)="Ronde ","R"&amp;MID(INDEX(Beheer!$C$7:$C$36,COLUMNS($D1:T1)),7,10),LEFT(INDEX(Beheer!$C$7:$C$36,COLUMNS($D1:T1)),7)),""),"")</f>
        <v/>
      </c>
      <c r="U1" s="43" t="str" cm="1">
        <f t="array" ref="U1">IFERROR(IF(COLUMNS($D1:U1)&lt;=Beheer!$C$4,IF(LEFT(INDEX(Beheer!$C$7:$C$36,COLUMNS($D1:U1)),6)="Ronde ","R"&amp;MID(INDEX(Beheer!$C$7:$C$36,COLUMNS($D1:U1)),7,10),LEFT(INDEX(Beheer!$C$7:$C$36,COLUMNS($D1:U1)),7)),""),"")</f>
        <v/>
      </c>
      <c r="V1" s="43" t="str" cm="1">
        <f t="array" ref="V1">IFERROR(IF(COLUMNS($D1:V1)&lt;=Beheer!$C$4,IF(LEFT(INDEX(Beheer!$C$7:$C$36,COLUMNS($D1:V1)),6)="Ronde ","R"&amp;MID(INDEX(Beheer!$C$7:$C$36,COLUMNS($D1:V1)),7,10),LEFT(INDEX(Beheer!$C$7:$C$36,COLUMNS($D1:V1)),7)),""),"")</f>
        <v/>
      </c>
      <c r="W1" s="43" t="str" cm="1">
        <f t="array" ref="W1">IFERROR(IF(COLUMNS($D1:W1)&lt;=Beheer!$C$4,IF(LEFT(INDEX(Beheer!$C$7:$C$36,COLUMNS($D1:W1)),6)="Ronde ","R"&amp;MID(INDEX(Beheer!$C$7:$C$36,COLUMNS($D1:W1)),7,10),LEFT(INDEX(Beheer!$C$7:$C$36,COLUMNS($D1:W1)),7)),""),"")</f>
        <v/>
      </c>
      <c r="X1" s="43" t="str" cm="1">
        <f t="array" ref="X1">IFERROR(IF(COLUMNS($D1:X1)&lt;=Beheer!$C$4,IF(LEFT(INDEX(Beheer!$C$7:$C$36,COLUMNS($D1:X1)),6)="Ronde ","R"&amp;MID(INDEX(Beheer!$C$7:$C$36,COLUMNS($D1:X1)),7,10),LEFT(INDEX(Beheer!$C$7:$C$36,COLUMNS($D1:X1)),7)),""),"")</f>
        <v/>
      </c>
      <c r="Y1" s="43" t="str" cm="1">
        <f t="array" ref="Y1">IFERROR(IF(COLUMNS($D1:Y1)&lt;=Beheer!$C$4,IF(LEFT(INDEX(Beheer!$C$7:$C$36,COLUMNS($D1:Y1)),6)="Ronde ","R"&amp;MID(INDEX(Beheer!$C$7:$C$36,COLUMNS($D1:Y1)),7,10),LEFT(INDEX(Beheer!$C$7:$C$36,COLUMNS($D1:Y1)),7)),""),"")</f>
        <v/>
      </c>
      <c r="Z1" s="43" t="str" cm="1">
        <f t="array" ref="Z1">IFERROR(IF(COLUMNS($D1:Z1)&lt;=Beheer!$C$4,IF(LEFT(INDEX(Beheer!$C$7:$C$36,COLUMNS($D1:Z1)),6)="Ronde ","R"&amp;MID(INDEX(Beheer!$C$7:$C$36,COLUMNS($D1:Z1)),7,10),LEFT(INDEX(Beheer!$C$7:$C$36,COLUMNS($D1:Z1)),7)),""),"")</f>
        <v/>
      </c>
      <c r="AA1" s="43" t="str" cm="1">
        <f t="array" ref="AA1">IFERROR(IF(COLUMNS($D1:AA1)&lt;=Beheer!$C$4,IF(LEFT(INDEX(Beheer!$C$7:$C$36,COLUMNS($D1:AA1)),6)="Ronde ","R"&amp;MID(INDEX(Beheer!$C$7:$C$36,COLUMNS($D1:AA1)),7,10),LEFT(INDEX(Beheer!$C$7:$C$36,COLUMNS($D1:AA1)),7)),""),"")</f>
        <v/>
      </c>
      <c r="AB1" s="43" t="str" cm="1">
        <f t="array" ref="AB1">IFERROR(IF(COLUMNS($D1:AB1)&lt;=Beheer!$C$4,IF(LEFT(INDEX(Beheer!$C$7:$C$36,COLUMNS($D1:AB1)),6)="Ronde ","R"&amp;MID(INDEX(Beheer!$C$7:$C$36,COLUMNS($D1:AB1)),7,10),LEFT(INDEX(Beheer!$C$7:$C$36,COLUMNS($D1:AB1)),7)),""),"")</f>
        <v/>
      </c>
      <c r="AC1" s="43" t="str" cm="1">
        <f t="array" ref="AC1">IFERROR(IF(COLUMNS($D1:AC1)&lt;=Beheer!$C$4,IF(LEFT(INDEX(Beheer!$C$7:$C$36,COLUMNS($D1:AC1)),6)="Ronde ","R"&amp;MID(INDEX(Beheer!$C$7:$C$36,COLUMNS($D1:AC1)),7,10),LEFT(INDEX(Beheer!$C$7:$C$36,COLUMNS($D1:AC1)),7)),""),"")</f>
        <v/>
      </c>
      <c r="AD1" s="43" t="str" cm="1">
        <f t="array" ref="AD1">IFERROR(IF(COLUMNS($D1:AD1)&lt;=Beheer!$C$4,IF(LEFT(INDEX(Beheer!$C$7:$C$36,COLUMNS($D1:AD1)),6)="Ronde ","R"&amp;MID(INDEX(Beheer!$C$7:$C$36,COLUMNS($D1:AD1)),7,10),LEFT(INDEX(Beheer!$C$7:$C$36,COLUMNS($D1:AD1)),7)),""),"")</f>
        <v/>
      </c>
      <c r="AE1" s="43" t="str" cm="1">
        <f t="array" ref="AE1">IFERROR(IF(COLUMNS($D1:AE1)&lt;=Beheer!$C$4,IF(LEFT(INDEX(Beheer!$C$7:$C$36,COLUMNS($D1:AE1)),6)="Ronde ","R"&amp;MID(INDEX(Beheer!$C$7:$C$36,COLUMNS($D1:AE1)),7,10),LEFT(INDEX(Beheer!$C$7:$C$36,COLUMNS($D1:AE1)),7)),""),"")</f>
        <v/>
      </c>
      <c r="AF1" s="43" t="str" cm="1">
        <f t="array" ref="AF1">IFERROR(IF(COLUMNS($D1:AF1)&lt;=Beheer!$C$4,IF(LEFT(INDEX(Beheer!$C$7:$C$36,COLUMNS($D1:AF1)),6)="Ronde ","R"&amp;MID(INDEX(Beheer!$C$7:$C$36,COLUMNS($D1:AF1)),7,10),LEFT(INDEX(Beheer!$C$7:$C$36,COLUMNS($D1:AF1)),7)),""),"")</f>
        <v/>
      </c>
      <c r="AG1" s="44" t="str" cm="1">
        <f t="array" ref="AG1">IFERROR(IF(COLUMNS($D1:AG1)&lt;=Beheer!$C$4,IF(LEFT(INDEX(Beheer!$C$7:$C$36,COLUMNS($D1:AG1)),6)="Round ","R"&amp;MID(INDEX(Beheer!$C$7:$C$36,COLUMNS($D1:AG1)),7,10),LEFT(INDEX(Beheer!$C$7:$C$36,COLUMNS($D1:AG1)),7)),""),"")</f>
        <v/>
      </c>
    </row>
    <row r="2" spans="1:33" ht="44" customHeight="1" thickBot="1" x14ac:dyDescent="0.5">
      <c r="A2" s="85">
        <f>IF(ROWS($A$2:A2)&gt;COUNTA(Beheer!$F$7:$F$66),"",ROWS($A$2:A2))</f>
        <v>1</v>
      </c>
      <c r="B2" s="106" t="str">
        <f>IF($A2="","",INDEX(Dashboard!$A$2:$A$61,MATCH(LARGE(Dashboard!$AI$2:$AI$61,$A2),Dashboard!$AI$2:$AI$61,0)))</f>
        <v>Schele Vanthilt</v>
      </c>
      <c r="C2" s="86" t="str">
        <f>IF($A2="","",INDEX(Dashboard!$AG$2:$AG$61,MATCH(LARGE(Dashboard!$AI$2:$AI$61,$A2),Dashboard!$AI$2:$AI$61,0))&amp;" / "&amp;INDEX(Dashboard!$AH$2:$AH$61,MATCH(LARGE(Dashboard!$AI$2:$AI$61,$A2),Dashboard!$AI$2:$AI$61,0)))</f>
        <v>96 / 130</v>
      </c>
      <c r="D2" s="87" t="str" cm="1">
        <f t="array" ref="D2">IF(OR($A2="",COLUMNS($D2:D2)&gt;Beheer!$C$4),"",N(INDEX(Dashboard!$C$2:$AF$61,MATCH(LARGE(Dashboard!$AI$2:$AI$61,$A2),Dashboard!$AI$2:$AI$61,0),COLUMNS($D2:D2)))&amp;"/"&amp;INDEX(Beheer!$B$7:$B$36,COLUMNS($D2:D2)))</f>
        <v>10/10</v>
      </c>
      <c r="E2" s="87" t="str" cm="1">
        <f t="array" ref="E2">IF(OR($A2="",COLUMNS($D2:E2)&gt;Beheer!$C$4),"",N(INDEX(Dashboard!$C$2:$AF$61,MATCH(LARGE(Dashboard!$AI$2:$AI$61,$A2),Dashboard!$AI$2:$AI$61,0),COLUMNS($D2:E2)))&amp;"/"&amp;INDEX(Beheer!$B$7:$B$36,COLUMNS($D2:E2)))</f>
        <v>8/10</v>
      </c>
      <c r="F2" s="87" t="str" cm="1">
        <f t="array" ref="F2">IF(OR($A2="",COLUMNS($D2:F2)&gt;Beheer!$C$4),"",N(INDEX(Dashboard!$C$2:$AF$61,MATCH(LARGE(Dashboard!$AI$2:$AI$61,$A2),Dashboard!$AI$2:$AI$61,0),COLUMNS($D2:F2)))&amp;"/"&amp;INDEX(Beheer!$B$7:$B$36,COLUMNS($D2:F2)))</f>
        <v>1/10</v>
      </c>
      <c r="G2" s="87" t="str" cm="1">
        <f t="array" ref="G2">IF(OR($A2="",COLUMNS($D2:G2)&gt;Beheer!$C$4),"",N(INDEX(Dashboard!$C$2:$AF$61,MATCH(LARGE(Dashboard!$AI$2:$AI$61,$A2),Dashboard!$AI$2:$AI$61,0),COLUMNS($D2:G2)))&amp;"/"&amp;INDEX(Beheer!$B$7:$B$36,COLUMNS($D2:G2)))</f>
        <v>20/20</v>
      </c>
      <c r="H2" s="87" t="str" cm="1">
        <f t="array" ref="H2">IF(OR($A2="",COLUMNS($D2:H2)&gt;Beheer!$C$4),"",N(INDEX(Dashboard!$C$2:$AF$61,MATCH(LARGE(Dashboard!$AI$2:$AI$61,$A2),Dashboard!$AI$2:$AI$61,0),COLUMNS($D2:H2)))&amp;"/"&amp;INDEX(Beheer!$B$7:$B$36,COLUMNS($D2:H2)))</f>
        <v>4/10</v>
      </c>
      <c r="I2" s="87" t="str" cm="1">
        <f t="array" ref="I2">IF(OR($A2="",COLUMNS($D2:I2)&gt;Beheer!$C$4),"",N(INDEX(Dashboard!$C$2:$AF$61,MATCH(LARGE(Dashboard!$AI$2:$AI$61,$A2),Dashboard!$AI$2:$AI$61,0),COLUMNS($D2:I2)))&amp;"/"&amp;INDEX(Beheer!$B$7:$B$36,COLUMNS($D2:I2)))</f>
        <v>7/10</v>
      </c>
      <c r="J2" s="87" t="str" cm="1">
        <f t="array" ref="J2">IF(OR($A2="",COLUMNS($D2:J2)&gt;Beheer!$C$4),"",N(INDEX(Dashboard!$C$2:$AF$61,MATCH(LARGE(Dashboard!$AI$2:$AI$61,$A2),Dashboard!$AI$2:$AI$61,0),COLUMNS($D2:J2)))&amp;"/"&amp;INDEX(Beheer!$B$7:$B$36,COLUMNS($D2:J2)))</f>
        <v>7/10</v>
      </c>
      <c r="K2" s="87" t="str" cm="1">
        <f t="array" ref="K2">IF(OR($A2="",COLUMNS($D2:K2)&gt;Beheer!$C$4),"",N(INDEX(Dashboard!$C$2:$AF$61,MATCH(LARGE(Dashboard!$AI$2:$AI$61,$A2),Dashboard!$AI$2:$AI$61,0),COLUMNS($D2:K2)))&amp;"/"&amp;INDEX(Beheer!$B$7:$B$36,COLUMNS($D2:K2)))</f>
        <v>13/15</v>
      </c>
      <c r="L2" s="87" t="str" cm="1">
        <f t="array" ref="L2">IF(OR($A2="",COLUMNS($D2:L2)&gt;Beheer!$C$4),"",N(INDEX(Dashboard!$C$2:$AF$61,MATCH(LARGE(Dashboard!$AI$2:$AI$61,$A2),Dashboard!$AI$2:$AI$61,0),COLUMNS($D2:L2)))&amp;"/"&amp;INDEX(Beheer!$B$7:$B$36,COLUMNS($D2:L2)))</f>
        <v>10/10</v>
      </c>
      <c r="M2" s="87" t="str" cm="1">
        <f t="array" ref="M2">IF(OR($A2="",COLUMNS($D2:M2)&gt;Beheer!$C$4),"",N(INDEX(Dashboard!$C$2:$AF$61,MATCH(LARGE(Dashboard!$AI$2:$AI$61,$A2),Dashboard!$AI$2:$AI$61,0),COLUMNS($D2:M2)))&amp;"/"&amp;INDEX(Beheer!$B$7:$B$36,COLUMNS($D2:M2)))</f>
        <v>8/10</v>
      </c>
      <c r="N2" s="87" t="str" cm="1">
        <f t="array" ref="N2">IF(OR($A2="",COLUMNS($D2:N2)&gt;Beheer!$C$4),"",N(INDEX(Dashboard!$C$2:$AF$61,MATCH(LARGE(Dashboard!$AI$2:$AI$61,$A2),Dashboard!$AI$2:$AI$61,0),COLUMNS($D2:N2)))&amp;"/"&amp;INDEX(Beheer!$B$7:$B$36,COLUMNS($D2:N2)))</f>
        <v>1/5</v>
      </c>
      <c r="O2" s="87" t="str" cm="1">
        <f t="array" ref="O2">IF(OR($A2="",COLUMNS($D2:O2)&gt;Beheer!$C$4),"",N(INDEX(Dashboard!$C$2:$AF$61,MATCH(LARGE(Dashboard!$AI$2:$AI$61,$A2),Dashboard!$AI$2:$AI$61,0),COLUMNS($D2:O2)))&amp;"/"&amp;INDEX(Beheer!$B$7:$B$36,COLUMNS($D2:O2)))</f>
        <v>7/10</v>
      </c>
      <c r="P2" s="87" t="str" cm="1">
        <f t="array" ref="P2">IF(OR($A2="",COLUMNS($D2:P2)&gt;Beheer!$C$4),"",N(INDEX(Dashboard!$C$2:$AF$61,MATCH(LARGE(Dashboard!$AI$2:$AI$61,$A2),Dashboard!$AI$2:$AI$61,0),COLUMNS($D2:P2)))&amp;"/"&amp;INDEX(Beheer!$B$7:$B$36,COLUMNS($D2:P2)))</f>
        <v/>
      </c>
      <c r="Q2" s="87" t="str" cm="1">
        <f t="array" ref="Q2">IF(OR($A2="",COLUMNS($D2:Q2)&gt;Beheer!$C$4),"",N(INDEX(Dashboard!$C$2:$AF$61,MATCH(LARGE(Dashboard!$AI$2:$AI$61,$A2),Dashboard!$AI$2:$AI$61,0),COLUMNS($D2:Q2)))&amp;"/"&amp;INDEX(Beheer!$B$7:$B$36,COLUMNS($D2:Q2)))</f>
        <v/>
      </c>
      <c r="R2" s="87" t="str" cm="1">
        <f t="array" ref="R2">IF(OR($A2="",COLUMNS($D2:R2)&gt;Beheer!$C$4),"",N(INDEX(Dashboard!$C$2:$AF$61,MATCH(LARGE(Dashboard!$AI$2:$AI$61,$A2),Dashboard!$AI$2:$AI$61,0),COLUMNS($D2:R2)))&amp;"/"&amp;INDEX(Beheer!$B$7:$B$36,COLUMNS($D2:R2)))</f>
        <v/>
      </c>
      <c r="S2" s="87" t="str" cm="1">
        <f t="array" ref="S2">IF(OR($A2="",COLUMNS($D2:S2)&gt;Beheer!$C$4),"",N(INDEX(Dashboard!$C$2:$AF$61,MATCH(LARGE(Dashboard!$AI$2:$AI$61,$A2),Dashboard!$AI$2:$AI$61,0),COLUMNS($D2:S2)))&amp;"/"&amp;INDEX(Beheer!$B$7:$B$36,COLUMNS($D2:S2)))</f>
        <v/>
      </c>
      <c r="T2" s="87" t="str" cm="1">
        <f t="array" ref="T2">IF(OR($A2="",COLUMNS($D2:T2)&gt;Beheer!$C$4),"",N(INDEX(Dashboard!$C$2:$AF$61,MATCH(LARGE(Dashboard!$AI$2:$AI$61,$A2),Dashboard!$AI$2:$AI$61,0),COLUMNS($D2:T2)))&amp;"/"&amp;INDEX(Beheer!$B$7:$B$36,COLUMNS($D2:T2)))</f>
        <v/>
      </c>
      <c r="U2" s="87" t="str" cm="1">
        <f t="array" ref="U2">IF(OR($A2="",COLUMNS($D2:U2)&gt;Beheer!$C$4),"",N(INDEX(Dashboard!$C$2:$AF$61,MATCH(LARGE(Dashboard!$AI$2:$AI$61,$A2),Dashboard!$AI$2:$AI$61,0),COLUMNS($D2:U2)))&amp;"/"&amp;INDEX(Beheer!$B$7:$B$36,COLUMNS($D2:U2)))</f>
        <v/>
      </c>
      <c r="V2" s="87" t="str" cm="1">
        <f t="array" ref="V2">IF(OR($A2="",COLUMNS($D2:V2)&gt;Beheer!$C$4),"",N(INDEX(Dashboard!$C$2:$AF$61,MATCH(LARGE(Dashboard!$AI$2:$AI$61,$A2),Dashboard!$AI$2:$AI$61,0),COLUMNS($D2:V2)))&amp;"/"&amp;INDEX(Beheer!$B$7:$B$36,COLUMNS($D2:V2)))</f>
        <v/>
      </c>
      <c r="W2" s="87" t="str" cm="1">
        <f t="array" ref="W2">IF(OR($A2="",COLUMNS($D2:W2)&gt;Beheer!$C$4),"",N(INDEX(Dashboard!$C$2:$AF$61,MATCH(LARGE(Dashboard!$AI$2:$AI$61,$A2),Dashboard!$AI$2:$AI$61,0),COLUMNS($D2:W2)))&amp;"/"&amp;INDEX(Beheer!$B$7:$B$36,COLUMNS($D2:W2)))</f>
        <v/>
      </c>
      <c r="X2" s="87" t="str" cm="1">
        <f t="array" ref="X2">IF(OR($A2="",COLUMNS($D2:X2)&gt;Beheer!$C$4),"",N(INDEX(Dashboard!$C$2:$AF$61,MATCH(LARGE(Dashboard!$AI$2:$AI$61,$A2),Dashboard!$AI$2:$AI$61,0),COLUMNS($D2:X2)))&amp;"/"&amp;INDEX(Beheer!$B$7:$B$36,COLUMNS($D2:X2)))</f>
        <v/>
      </c>
      <c r="Y2" s="87" t="str" cm="1">
        <f t="array" ref="Y2">IF(OR($A2="",COLUMNS($D2:Y2)&gt;Beheer!$C$4),"",N(INDEX(Dashboard!$C$2:$AF$61,MATCH(LARGE(Dashboard!$AI$2:$AI$61,$A2),Dashboard!$AI$2:$AI$61,0),COLUMNS($D2:Y2)))&amp;"/"&amp;INDEX(Beheer!$B$7:$B$36,COLUMNS($D2:Y2)))</f>
        <v/>
      </c>
      <c r="Z2" s="87" t="str" cm="1">
        <f t="array" ref="Z2">IF(OR($A2="",COLUMNS($D2:Z2)&gt;Beheer!$C$4),"",N(INDEX(Dashboard!$C$2:$AF$61,MATCH(LARGE(Dashboard!$AI$2:$AI$61,$A2),Dashboard!$AI$2:$AI$61,0),COLUMNS($D2:Z2)))&amp;"/"&amp;INDEX(Beheer!$B$7:$B$36,COLUMNS($D2:Z2)))</f>
        <v/>
      </c>
      <c r="AA2" s="87" t="str" cm="1">
        <f t="array" ref="AA2">IF(OR($A2="",COLUMNS($D2:AA2)&gt;Beheer!$C$4),"",N(INDEX(Dashboard!$C$2:$AF$61,MATCH(LARGE(Dashboard!$AI$2:$AI$61,$A2),Dashboard!$AI$2:$AI$61,0),COLUMNS($D2:AA2)))&amp;"/"&amp;INDEX(Beheer!$B$7:$B$36,COLUMNS($D2:AA2)))</f>
        <v/>
      </c>
      <c r="AB2" s="87" t="str" cm="1">
        <f t="array" ref="AB2">IF(OR($A2="",COLUMNS($D2:AB2)&gt;Beheer!$C$4),"",N(INDEX(Dashboard!$C$2:$AF$61,MATCH(LARGE(Dashboard!$AI$2:$AI$61,$A2),Dashboard!$AI$2:$AI$61,0),COLUMNS($D2:AB2)))&amp;"/"&amp;INDEX(Beheer!$B$7:$B$36,COLUMNS($D2:AB2)))</f>
        <v/>
      </c>
      <c r="AC2" s="87" t="str" cm="1">
        <f t="array" ref="AC2">IF(OR($A2="",COLUMNS($D2:AC2)&gt;Beheer!$C$4),"",N(INDEX(Dashboard!$C$2:$AF$61,MATCH(LARGE(Dashboard!$AI$2:$AI$61,$A2),Dashboard!$AI$2:$AI$61,0),COLUMNS($D2:AC2)))&amp;"/"&amp;INDEX(Beheer!$B$7:$B$36,COLUMNS($D2:AC2)))</f>
        <v/>
      </c>
      <c r="AD2" s="87" t="str" cm="1">
        <f t="array" ref="AD2">IF(OR($A2="",COLUMNS($D2:AD2)&gt;Beheer!$C$4),"",N(INDEX(Dashboard!$C$2:$AF$61,MATCH(LARGE(Dashboard!$AI$2:$AI$61,$A2),Dashboard!$AI$2:$AI$61,0),COLUMNS($D2:AD2)))&amp;"/"&amp;INDEX(Beheer!$B$7:$B$36,COLUMNS($D2:AD2)))</f>
        <v/>
      </c>
      <c r="AE2" s="87" t="str" cm="1">
        <f t="array" ref="AE2">IF(OR($A2="",COLUMNS($D2:AE2)&gt;Beheer!$C$4),"",N(INDEX(Dashboard!$C$2:$AF$61,MATCH(LARGE(Dashboard!$AI$2:$AI$61,$A2),Dashboard!$AI$2:$AI$61,0),COLUMNS($D2:AE2)))&amp;"/"&amp;INDEX(Beheer!$B$7:$B$36,COLUMNS($D2:AE2)))</f>
        <v/>
      </c>
      <c r="AF2" s="87" t="str" cm="1">
        <f t="array" ref="AF2">IF(OR($A2="",COLUMNS($D2:AF2)&gt;Beheer!$C$4),"",N(INDEX(Dashboard!$C$2:$AF$61,MATCH(LARGE(Dashboard!$AI$2:$AI$61,$A2),Dashboard!$AI$2:$AI$61,0),COLUMNS($D2:AF2)))&amp;"/"&amp;INDEX(Beheer!$B$7:$B$36,COLUMNS($D2:AF2)))</f>
        <v/>
      </c>
      <c r="AG2" s="87" t="str" cm="1">
        <f t="array" ref="AG2">IF(OR($A2="",COLUMNS($D2:AG2)&gt;Beheer!$C$4),"",N(INDEX(Dashboard!$C$2:$AF$61,MATCH(LARGE(Dashboard!$AI$2:$AI$61,$A2),Dashboard!$AI$2:$AI$61,0),COLUMNS($D2:AG2)))&amp;"/"&amp;INDEX(Beheer!$B$7:$B$36,COLUMNS($D2:AG2)))</f>
        <v/>
      </c>
    </row>
    <row r="3" spans="1:33" ht="36" customHeight="1" thickBot="1" x14ac:dyDescent="0.5">
      <c r="A3" s="89">
        <f>IF(ROWS($A$2:A3)&gt;COUNTA(Beheer!$F$7:$F$66),"",ROWS($A$2:A3))</f>
        <v>2</v>
      </c>
      <c r="B3" s="105" t="str">
        <f>IF($A3="","",INDEX(Dashboard!$A$2:$A$61,MATCH(LARGE(Dashboard!$AI$2:$AI$61,$A3),Dashboard!$AI$2:$AI$61,0)))</f>
        <v>Boeren met Verstand</v>
      </c>
      <c r="C3" s="90" t="str">
        <f>IF($A3="","",INDEX(Dashboard!$AG$2:$AG$61,MATCH(LARGE(Dashboard!$AI$2:$AI$61,$A3),Dashboard!$AI$2:$AI$61,0))&amp;" / "&amp;INDEX(Dashboard!$AH$2:$AH$61,MATCH(LARGE(Dashboard!$AI$2:$AI$61,$A3),Dashboard!$AI$2:$AI$61,0)))</f>
        <v>88 / 130</v>
      </c>
      <c r="D3" s="88" t="str" cm="1">
        <f t="array" ref="D3">IF(OR($A3="",COLUMNS($D3:D3)&gt;Beheer!$C$4),"",N(INDEX(Dashboard!$C$2:$AF$61,MATCH(LARGE(Dashboard!$AI$2:$AI$61,$A3),Dashboard!$AI$2:$AI$61,0),COLUMNS($D3:D3)))&amp;"/"&amp;INDEX(Beheer!$B$7:$B$36,COLUMNS($D3:D3)))</f>
        <v>8/10</v>
      </c>
      <c r="E3" s="88" t="str" cm="1">
        <f t="array" ref="E3">IF(OR($A3="",COLUMNS($D3:E3)&gt;Beheer!$C$4),"",N(INDEX(Dashboard!$C$2:$AF$61,MATCH(LARGE(Dashboard!$AI$2:$AI$61,$A3),Dashboard!$AI$2:$AI$61,0),COLUMNS($D3:E3)))&amp;"/"&amp;INDEX(Beheer!$B$7:$B$36,COLUMNS($D3:E3)))</f>
        <v>5/10</v>
      </c>
      <c r="F3" s="88" t="str" cm="1">
        <f t="array" ref="F3">IF(OR($A3="",COLUMNS($D3:F3)&gt;Beheer!$C$4),"",N(INDEX(Dashboard!$C$2:$AF$61,MATCH(LARGE(Dashboard!$AI$2:$AI$61,$A3),Dashboard!$AI$2:$AI$61,0),COLUMNS($D3:F3)))&amp;"/"&amp;INDEX(Beheer!$B$7:$B$36,COLUMNS($D3:F3)))</f>
        <v>3/10</v>
      </c>
      <c r="G3" s="88" t="str" cm="1">
        <f t="array" ref="G3">IF(OR($A3="",COLUMNS($D3:G3)&gt;Beheer!$C$4),"",N(INDEX(Dashboard!$C$2:$AF$61,MATCH(LARGE(Dashboard!$AI$2:$AI$61,$A3),Dashboard!$AI$2:$AI$61,0),COLUMNS($D3:G3)))&amp;"/"&amp;INDEX(Beheer!$B$7:$B$36,COLUMNS($D3:G3)))</f>
        <v>18/20</v>
      </c>
      <c r="H3" s="88" t="str" cm="1">
        <f t="array" ref="H3">IF(OR($A3="",COLUMNS($D3:H3)&gt;Beheer!$C$4),"",N(INDEX(Dashboard!$C$2:$AF$61,MATCH(LARGE(Dashboard!$AI$2:$AI$61,$A3),Dashboard!$AI$2:$AI$61,0),COLUMNS($D3:H3)))&amp;"/"&amp;INDEX(Beheer!$B$7:$B$36,COLUMNS($D3:H3)))</f>
        <v>8/10</v>
      </c>
      <c r="I3" s="88" t="str" cm="1">
        <f t="array" ref="I3">IF(OR($A3="",COLUMNS($D3:I3)&gt;Beheer!$C$4),"",N(INDEX(Dashboard!$C$2:$AF$61,MATCH(LARGE(Dashboard!$AI$2:$AI$61,$A3),Dashboard!$AI$2:$AI$61,0),COLUMNS($D3:I3)))&amp;"/"&amp;INDEX(Beheer!$B$7:$B$36,COLUMNS($D3:I3)))</f>
        <v>3/10</v>
      </c>
      <c r="J3" s="88" t="str" cm="1">
        <f t="array" ref="J3">IF(OR($A3="",COLUMNS($D3:J3)&gt;Beheer!$C$4),"",N(INDEX(Dashboard!$C$2:$AF$61,MATCH(LARGE(Dashboard!$AI$2:$AI$61,$A3),Dashboard!$AI$2:$AI$61,0),COLUMNS($D3:J3)))&amp;"/"&amp;INDEX(Beheer!$B$7:$B$36,COLUMNS($D3:J3)))</f>
        <v>8/10</v>
      </c>
      <c r="K3" s="88" t="str" cm="1">
        <f t="array" ref="K3">IF(OR($A3="",COLUMNS($D3:K3)&gt;Beheer!$C$4),"",N(INDEX(Dashboard!$C$2:$AF$61,MATCH(LARGE(Dashboard!$AI$2:$AI$61,$A3),Dashboard!$AI$2:$AI$61,0),COLUMNS($D3:K3)))&amp;"/"&amp;INDEX(Beheer!$B$7:$B$36,COLUMNS($D3:K3)))</f>
        <v>15/15</v>
      </c>
      <c r="L3" s="88" t="str" cm="1">
        <f t="array" ref="L3">IF(OR($A3="",COLUMNS($D3:L3)&gt;Beheer!$C$4),"",N(INDEX(Dashboard!$C$2:$AF$61,MATCH(LARGE(Dashboard!$AI$2:$AI$61,$A3),Dashboard!$AI$2:$AI$61,0),COLUMNS($D3:L3)))&amp;"/"&amp;INDEX(Beheer!$B$7:$B$36,COLUMNS($D3:L3)))</f>
        <v>9/10</v>
      </c>
      <c r="M3" s="88" t="str" cm="1">
        <f t="array" ref="M3">IF(OR($A3="",COLUMNS($D3:M3)&gt;Beheer!$C$4),"",N(INDEX(Dashboard!$C$2:$AF$61,MATCH(LARGE(Dashboard!$AI$2:$AI$61,$A3),Dashboard!$AI$2:$AI$61,0),COLUMNS($D3:M3)))&amp;"/"&amp;INDEX(Beheer!$B$7:$B$36,COLUMNS($D3:M3)))</f>
        <v>4/10</v>
      </c>
      <c r="N3" s="88" t="str" cm="1">
        <f t="array" ref="N3">IF(OR($A3="",COLUMNS($D3:N3)&gt;Beheer!$C$4),"",N(INDEX(Dashboard!$C$2:$AF$61,MATCH(LARGE(Dashboard!$AI$2:$AI$61,$A3),Dashboard!$AI$2:$AI$61,0),COLUMNS($D3:N3)))&amp;"/"&amp;INDEX(Beheer!$B$7:$B$36,COLUMNS($D3:N3)))</f>
        <v>1/5</v>
      </c>
      <c r="O3" s="88" t="str" cm="1">
        <f t="array" ref="O3">IF(OR($A3="",COLUMNS($D3:O3)&gt;Beheer!$C$4),"",N(INDEX(Dashboard!$C$2:$AF$61,MATCH(LARGE(Dashboard!$AI$2:$AI$61,$A3),Dashboard!$AI$2:$AI$61,0),COLUMNS($D3:O3)))&amp;"/"&amp;INDEX(Beheer!$B$7:$B$36,COLUMNS($D3:O3)))</f>
        <v>6/10</v>
      </c>
      <c r="P3" s="88" t="str" cm="1">
        <f t="array" ref="P3">IF(OR($A3="",COLUMNS($D3:P3)&gt;Beheer!$C$4),"",N(INDEX(Dashboard!$C$2:$AF$61,MATCH(LARGE(Dashboard!$AI$2:$AI$61,$A3),Dashboard!$AI$2:$AI$61,0),COLUMNS($D3:P3)))&amp;"/"&amp;INDEX(Beheer!$B$7:$B$36,COLUMNS($D3:P3)))</f>
        <v/>
      </c>
      <c r="Q3" s="88" t="str" cm="1">
        <f t="array" ref="Q3">IF(OR($A3="",COLUMNS($D3:Q3)&gt;Beheer!$C$4),"",N(INDEX(Dashboard!$C$2:$AF$61,MATCH(LARGE(Dashboard!$AI$2:$AI$61,$A3),Dashboard!$AI$2:$AI$61,0),COLUMNS($D3:Q3)))&amp;"/"&amp;INDEX(Beheer!$B$7:$B$36,COLUMNS($D3:Q3)))</f>
        <v/>
      </c>
      <c r="R3" s="88" t="str" cm="1">
        <f t="array" ref="R3">IF(OR($A3="",COLUMNS($D3:R3)&gt;Beheer!$C$4),"",N(INDEX(Dashboard!$C$2:$AF$61,MATCH(LARGE(Dashboard!$AI$2:$AI$61,$A3),Dashboard!$AI$2:$AI$61,0),COLUMNS($D3:R3)))&amp;"/"&amp;INDEX(Beheer!$B$7:$B$36,COLUMNS($D3:R3)))</f>
        <v/>
      </c>
      <c r="S3" s="88" t="str" cm="1">
        <f t="array" ref="S3">IF(OR($A3="",COLUMNS($D3:S3)&gt;Beheer!$C$4),"",N(INDEX(Dashboard!$C$2:$AF$61,MATCH(LARGE(Dashboard!$AI$2:$AI$61,$A3),Dashboard!$AI$2:$AI$61,0),COLUMNS($D3:S3)))&amp;"/"&amp;INDEX(Beheer!$B$7:$B$36,COLUMNS($D3:S3)))</f>
        <v/>
      </c>
      <c r="T3" s="88" t="str" cm="1">
        <f t="array" ref="T3">IF(OR($A3="",COLUMNS($D3:T3)&gt;Beheer!$C$4),"",N(INDEX(Dashboard!$C$2:$AF$61,MATCH(LARGE(Dashboard!$AI$2:$AI$61,$A3),Dashboard!$AI$2:$AI$61,0),COLUMNS($D3:T3)))&amp;"/"&amp;INDEX(Beheer!$B$7:$B$36,COLUMNS($D3:T3)))</f>
        <v/>
      </c>
      <c r="U3" s="88" t="str" cm="1">
        <f t="array" ref="U3">IF(OR($A3="",COLUMNS($D3:U3)&gt;Beheer!$C$4),"",N(INDEX(Dashboard!$C$2:$AF$61,MATCH(LARGE(Dashboard!$AI$2:$AI$61,$A3),Dashboard!$AI$2:$AI$61,0),COLUMNS($D3:U3)))&amp;"/"&amp;INDEX(Beheer!$B$7:$B$36,COLUMNS($D3:U3)))</f>
        <v/>
      </c>
      <c r="V3" s="88" t="str" cm="1">
        <f t="array" ref="V3">IF(OR($A3="",COLUMNS($D3:V3)&gt;Beheer!$C$4),"",N(INDEX(Dashboard!$C$2:$AF$61,MATCH(LARGE(Dashboard!$AI$2:$AI$61,$A3),Dashboard!$AI$2:$AI$61,0),COLUMNS($D3:V3)))&amp;"/"&amp;INDEX(Beheer!$B$7:$B$36,COLUMNS($D3:V3)))</f>
        <v/>
      </c>
      <c r="W3" s="88" t="str" cm="1">
        <f t="array" ref="W3">IF(OR($A3="",COLUMNS($D3:W3)&gt;Beheer!$C$4),"",N(INDEX(Dashboard!$C$2:$AF$61,MATCH(LARGE(Dashboard!$AI$2:$AI$61,$A3),Dashboard!$AI$2:$AI$61,0),COLUMNS($D3:W3)))&amp;"/"&amp;INDEX(Beheer!$B$7:$B$36,COLUMNS($D3:W3)))</f>
        <v/>
      </c>
      <c r="X3" s="88" t="str" cm="1">
        <f t="array" ref="X3">IF(OR($A3="",COLUMNS($D3:X3)&gt;Beheer!$C$4),"",N(INDEX(Dashboard!$C$2:$AF$61,MATCH(LARGE(Dashboard!$AI$2:$AI$61,$A3),Dashboard!$AI$2:$AI$61,0),COLUMNS($D3:X3)))&amp;"/"&amp;INDEX(Beheer!$B$7:$B$36,COLUMNS($D3:X3)))</f>
        <v/>
      </c>
      <c r="Y3" s="88" t="str" cm="1">
        <f t="array" ref="Y3">IF(OR($A3="",COLUMNS($D3:Y3)&gt;Beheer!$C$4),"",N(INDEX(Dashboard!$C$2:$AF$61,MATCH(LARGE(Dashboard!$AI$2:$AI$61,$A3),Dashboard!$AI$2:$AI$61,0),COLUMNS($D3:Y3)))&amp;"/"&amp;INDEX(Beheer!$B$7:$B$36,COLUMNS($D3:Y3)))</f>
        <v/>
      </c>
      <c r="Z3" s="88" t="str" cm="1">
        <f t="array" ref="Z3">IF(OR($A3="",COLUMNS($D3:Z3)&gt;Beheer!$C$4),"",N(INDEX(Dashboard!$C$2:$AF$61,MATCH(LARGE(Dashboard!$AI$2:$AI$61,$A3),Dashboard!$AI$2:$AI$61,0),COLUMNS($D3:Z3)))&amp;"/"&amp;INDEX(Beheer!$B$7:$B$36,COLUMNS($D3:Z3)))</f>
        <v/>
      </c>
      <c r="AA3" s="88" t="str" cm="1">
        <f t="array" ref="AA3">IF(OR($A3="",COLUMNS($D3:AA3)&gt;Beheer!$C$4),"",N(INDEX(Dashboard!$C$2:$AF$61,MATCH(LARGE(Dashboard!$AI$2:$AI$61,$A3),Dashboard!$AI$2:$AI$61,0),COLUMNS($D3:AA3)))&amp;"/"&amp;INDEX(Beheer!$B$7:$B$36,COLUMNS($D3:AA3)))</f>
        <v/>
      </c>
      <c r="AB3" s="88" t="str" cm="1">
        <f t="array" ref="AB3">IF(OR($A3="",COLUMNS($D3:AB3)&gt;Beheer!$C$4),"",N(INDEX(Dashboard!$C$2:$AF$61,MATCH(LARGE(Dashboard!$AI$2:$AI$61,$A3),Dashboard!$AI$2:$AI$61,0),COLUMNS($D3:AB3)))&amp;"/"&amp;INDEX(Beheer!$B$7:$B$36,COLUMNS($D3:AB3)))</f>
        <v/>
      </c>
      <c r="AC3" s="88" t="str" cm="1">
        <f t="array" ref="AC3">IF(OR($A3="",COLUMNS($D3:AC3)&gt;Beheer!$C$4),"",N(INDEX(Dashboard!$C$2:$AF$61,MATCH(LARGE(Dashboard!$AI$2:$AI$61,$A3),Dashboard!$AI$2:$AI$61,0),COLUMNS($D3:AC3)))&amp;"/"&amp;INDEX(Beheer!$B$7:$B$36,COLUMNS($D3:AC3)))</f>
        <v/>
      </c>
      <c r="AD3" s="88" t="str" cm="1">
        <f t="array" ref="AD3">IF(OR($A3="",COLUMNS($D3:AD3)&gt;Beheer!$C$4),"",N(INDEX(Dashboard!$C$2:$AF$61,MATCH(LARGE(Dashboard!$AI$2:$AI$61,$A3),Dashboard!$AI$2:$AI$61,0),COLUMNS($D3:AD3)))&amp;"/"&amp;INDEX(Beheer!$B$7:$B$36,COLUMNS($D3:AD3)))</f>
        <v/>
      </c>
      <c r="AE3" s="88" t="str" cm="1">
        <f t="array" ref="AE3">IF(OR($A3="",COLUMNS($D3:AE3)&gt;Beheer!$C$4),"",N(INDEX(Dashboard!$C$2:$AF$61,MATCH(LARGE(Dashboard!$AI$2:$AI$61,$A3),Dashboard!$AI$2:$AI$61,0),COLUMNS($D3:AE3)))&amp;"/"&amp;INDEX(Beheer!$B$7:$B$36,COLUMNS($D3:AE3)))</f>
        <v/>
      </c>
      <c r="AF3" s="88" t="str" cm="1">
        <f t="array" ref="AF3">IF(OR($A3="",COLUMNS($D3:AF3)&gt;Beheer!$C$4),"",N(INDEX(Dashboard!$C$2:$AF$61,MATCH(LARGE(Dashboard!$AI$2:$AI$61,$A3),Dashboard!$AI$2:$AI$61,0),COLUMNS($D3:AF3)))&amp;"/"&amp;INDEX(Beheer!$B$7:$B$36,COLUMNS($D3:AF3)))</f>
        <v/>
      </c>
      <c r="AG3" s="88" t="str" cm="1">
        <f t="array" ref="AG3">IF(OR($A3="",COLUMNS($D3:AG3)&gt;Beheer!$C$4),"",N(INDEX(Dashboard!$C$2:$AF$61,MATCH(LARGE(Dashboard!$AI$2:$AI$61,$A3),Dashboard!$AI$2:$AI$61,0),COLUMNS($D3:AG3)))&amp;"/"&amp;INDEX(Beheer!$B$7:$B$36,COLUMNS($D3:AG3)))</f>
        <v/>
      </c>
    </row>
    <row r="4" spans="1:33" ht="32" customHeight="1" thickBot="1" x14ac:dyDescent="0.5">
      <c r="A4" s="92">
        <f>IF(ROWS($A$2:A4)&gt;COUNTA(Beheer!$F$7:$F$66),"",ROWS($A$2:A4))</f>
        <v>3</v>
      </c>
      <c r="B4" s="104" t="str">
        <f>IF($A4="","",INDEX(Dashboard!$A$2:$A$61,MATCH(LARGE(Dashboard!$AI$2:$AI$61,$A4),Dashboard!$AI$2:$AI$61,0)))</f>
        <v>Tjevenbende</v>
      </c>
      <c r="C4" s="93" t="str">
        <f>IF($A4="","",INDEX(Dashboard!$AG$2:$AG$61,MATCH(LARGE(Dashboard!$AI$2:$AI$61,$A4),Dashboard!$AI$2:$AI$61,0))&amp;" / "&amp;INDEX(Dashboard!$AH$2:$AH$61,MATCH(LARGE(Dashboard!$AI$2:$AI$61,$A4),Dashboard!$AI$2:$AI$61,0)))</f>
        <v>82 / 130</v>
      </c>
      <c r="D4" s="91" t="str" cm="1">
        <f t="array" ref="D4">IF(OR($A4="",COLUMNS($D4:D4)&gt;Beheer!$C$4),"",N(INDEX(Dashboard!$C$2:$AF$61,MATCH(LARGE(Dashboard!$AI$2:$AI$61,$A4),Dashboard!$AI$2:$AI$61,0),COLUMNS($D4:D4)))&amp;"/"&amp;INDEX(Beheer!$B$7:$B$36,COLUMNS($D4:D4)))</f>
        <v>3/10</v>
      </c>
      <c r="E4" s="91" t="str" cm="1">
        <f t="array" ref="E4">IF(OR($A4="",COLUMNS($D4:E4)&gt;Beheer!$C$4),"",N(INDEX(Dashboard!$C$2:$AF$61,MATCH(LARGE(Dashboard!$AI$2:$AI$61,$A4),Dashboard!$AI$2:$AI$61,0),COLUMNS($D4:E4)))&amp;"/"&amp;INDEX(Beheer!$B$7:$B$36,COLUMNS($D4:E4)))</f>
        <v>10/10</v>
      </c>
      <c r="F4" s="91" t="str" cm="1">
        <f t="array" ref="F4">IF(OR($A4="",COLUMNS($D4:F4)&gt;Beheer!$C$4),"",N(INDEX(Dashboard!$C$2:$AF$61,MATCH(LARGE(Dashboard!$AI$2:$AI$61,$A4),Dashboard!$AI$2:$AI$61,0),COLUMNS($D4:F4)))&amp;"/"&amp;INDEX(Beheer!$B$7:$B$36,COLUMNS($D4:F4)))</f>
        <v>3/10</v>
      </c>
      <c r="G4" s="91" t="str" cm="1">
        <f t="array" ref="G4">IF(OR($A4="",COLUMNS($D4:G4)&gt;Beheer!$C$4),"",N(INDEX(Dashboard!$C$2:$AF$61,MATCH(LARGE(Dashboard!$AI$2:$AI$61,$A4),Dashboard!$AI$2:$AI$61,0),COLUMNS($D4:G4)))&amp;"/"&amp;INDEX(Beheer!$B$7:$B$36,COLUMNS($D4:G4)))</f>
        <v>14/20</v>
      </c>
      <c r="H4" s="91" t="str" cm="1">
        <f t="array" ref="H4">IF(OR($A4="",COLUMNS($D4:H4)&gt;Beheer!$C$4),"",N(INDEX(Dashboard!$C$2:$AF$61,MATCH(LARGE(Dashboard!$AI$2:$AI$61,$A4),Dashboard!$AI$2:$AI$61,0),COLUMNS($D4:H4)))&amp;"/"&amp;INDEX(Beheer!$B$7:$B$36,COLUMNS($D4:H4)))</f>
        <v>8/10</v>
      </c>
      <c r="I4" s="91" t="str" cm="1">
        <f t="array" ref="I4">IF(OR($A4="",COLUMNS($D4:I4)&gt;Beheer!$C$4),"",N(INDEX(Dashboard!$C$2:$AF$61,MATCH(LARGE(Dashboard!$AI$2:$AI$61,$A4),Dashboard!$AI$2:$AI$61,0),COLUMNS($D4:I4)))&amp;"/"&amp;INDEX(Beheer!$B$7:$B$36,COLUMNS($D4:I4)))</f>
        <v>10/10</v>
      </c>
      <c r="J4" s="91" t="str" cm="1">
        <f t="array" ref="J4">IF(OR($A4="",COLUMNS($D4:J4)&gt;Beheer!$C$4),"",N(INDEX(Dashboard!$C$2:$AF$61,MATCH(LARGE(Dashboard!$AI$2:$AI$61,$A4),Dashboard!$AI$2:$AI$61,0),COLUMNS($D4:J4)))&amp;"/"&amp;INDEX(Beheer!$B$7:$B$36,COLUMNS($D4:J4)))</f>
        <v>3/10</v>
      </c>
      <c r="K4" s="91" t="str" cm="1">
        <f t="array" ref="K4">IF(OR($A4="",COLUMNS($D4:K4)&gt;Beheer!$C$4),"",N(INDEX(Dashboard!$C$2:$AF$61,MATCH(LARGE(Dashboard!$AI$2:$AI$61,$A4),Dashboard!$AI$2:$AI$61,0),COLUMNS($D4:K4)))&amp;"/"&amp;INDEX(Beheer!$B$7:$B$36,COLUMNS($D4:K4)))</f>
        <v>11/15</v>
      </c>
      <c r="L4" s="91" t="str" cm="1">
        <f t="array" ref="L4">IF(OR($A4="",COLUMNS($D4:L4)&gt;Beheer!$C$4),"",N(INDEX(Dashboard!$C$2:$AF$61,MATCH(LARGE(Dashboard!$AI$2:$AI$61,$A4),Dashboard!$AI$2:$AI$61,0),COLUMNS($D4:L4)))&amp;"/"&amp;INDEX(Beheer!$B$7:$B$36,COLUMNS($D4:L4)))</f>
        <v>6/10</v>
      </c>
      <c r="M4" s="91" t="str" cm="1">
        <f t="array" ref="M4">IF(OR($A4="",COLUMNS($D4:M4)&gt;Beheer!$C$4),"",N(INDEX(Dashboard!$C$2:$AF$61,MATCH(LARGE(Dashboard!$AI$2:$AI$61,$A4),Dashboard!$AI$2:$AI$61,0),COLUMNS($D4:M4)))&amp;"/"&amp;INDEX(Beheer!$B$7:$B$36,COLUMNS($D4:M4)))</f>
        <v>6/10</v>
      </c>
      <c r="N4" s="91" t="str" cm="1">
        <f t="array" ref="N4">IF(OR($A4="",COLUMNS($D4:N4)&gt;Beheer!$C$4),"",N(INDEX(Dashboard!$C$2:$AF$61,MATCH(LARGE(Dashboard!$AI$2:$AI$61,$A4),Dashboard!$AI$2:$AI$61,0),COLUMNS($D4:N4)))&amp;"/"&amp;INDEX(Beheer!$B$7:$B$36,COLUMNS($D4:N4)))</f>
        <v>3/5</v>
      </c>
      <c r="O4" s="91" t="str" cm="1">
        <f t="array" ref="O4">IF(OR($A4="",COLUMNS($D4:O4)&gt;Beheer!$C$4),"",N(INDEX(Dashboard!$C$2:$AF$61,MATCH(LARGE(Dashboard!$AI$2:$AI$61,$A4),Dashboard!$AI$2:$AI$61,0),COLUMNS($D4:O4)))&amp;"/"&amp;INDEX(Beheer!$B$7:$B$36,COLUMNS($D4:O4)))</f>
        <v>5/10</v>
      </c>
      <c r="P4" s="91" t="str" cm="1">
        <f t="array" ref="P4">IF(OR($A4="",COLUMNS($D4:P4)&gt;Beheer!$C$4),"",N(INDEX(Dashboard!$C$2:$AF$61,MATCH(LARGE(Dashboard!$AI$2:$AI$61,$A4),Dashboard!$AI$2:$AI$61,0),COLUMNS($D4:P4)))&amp;"/"&amp;INDEX(Beheer!$B$7:$B$36,COLUMNS($D4:P4)))</f>
        <v/>
      </c>
      <c r="Q4" s="91" t="str" cm="1">
        <f t="array" ref="Q4">IF(OR($A4="",COLUMNS($D4:Q4)&gt;Beheer!$C$4),"",N(INDEX(Dashboard!$C$2:$AF$61,MATCH(LARGE(Dashboard!$AI$2:$AI$61,$A4),Dashboard!$AI$2:$AI$61,0),COLUMNS($D4:Q4)))&amp;"/"&amp;INDEX(Beheer!$B$7:$B$36,COLUMNS($D4:Q4)))</f>
        <v/>
      </c>
      <c r="R4" s="91" t="str" cm="1">
        <f t="array" ref="R4">IF(OR($A4="",COLUMNS($D4:R4)&gt;Beheer!$C$4),"",N(INDEX(Dashboard!$C$2:$AF$61,MATCH(LARGE(Dashboard!$AI$2:$AI$61,$A4),Dashboard!$AI$2:$AI$61,0),COLUMNS($D4:R4)))&amp;"/"&amp;INDEX(Beheer!$B$7:$B$36,COLUMNS($D4:R4)))</f>
        <v/>
      </c>
      <c r="S4" s="91" t="str" cm="1">
        <f t="array" ref="S4">IF(OR($A4="",COLUMNS($D4:S4)&gt;Beheer!$C$4),"",N(INDEX(Dashboard!$C$2:$AF$61,MATCH(LARGE(Dashboard!$AI$2:$AI$61,$A4),Dashboard!$AI$2:$AI$61,0),COLUMNS($D4:S4)))&amp;"/"&amp;INDEX(Beheer!$B$7:$B$36,COLUMNS($D4:S4)))</f>
        <v/>
      </c>
      <c r="T4" s="91" t="str" cm="1">
        <f t="array" ref="T4">IF(OR($A4="",COLUMNS($D4:T4)&gt;Beheer!$C$4),"",N(INDEX(Dashboard!$C$2:$AF$61,MATCH(LARGE(Dashboard!$AI$2:$AI$61,$A4),Dashboard!$AI$2:$AI$61,0),COLUMNS($D4:T4)))&amp;"/"&amp;INDEX(Beheer!$B$7:$B$36,COLUMNS($D4:T4)))</f>
        <v/>
      </c>
      <c r="U4" s="91" t="str" cm="1">
        <f t="array" ref="U4">IF(OR($A4="",COLUMNS($D4:U4)&gt;Beheer!$C$4),"",N(INDEX(Dashboard!$C$2:$AF$61,MATCH(LARGE(Dashboard!$AI$2:$AI$61,$A4),Dashboard!$AI$2:$AI$61,0),COLUMNS($D4:U4)))&amp;"/"&amp;INDEX(Beheer!$B$7:$B$36,COLUMNS($D4:U4)))</f>
        <v/>
      </c>
      <c r="V4" s="91" t="str" cm="1">
        <f t="array" ref="V4">IF(OR($A4="",COLUMNS($D4:V4)&gt;Beheer!$C$4),"",N(INDEX(Dashboard!$C$2:$AF$61,MATCH(LARGE(Dashboard!$AI$2:$AI$61,$A4),Dashboard!$AI$2:$AI$61,0),COLUMNS($D4:V4)))&amp;"/"&amp;INDEX(Beheer!$B$7:$B$36,COLUMNS($D4:V4)))</f>
        <v/>
      </c>
      <c r="W4" s="91" t="str" cm="1">
        <f t="array" ref="W4">IF(OR($A4="",COLUMNS($D4:W4)&gt;Beheer!$C$4),"",N(INDEX(Dashboard!$C$2:$AF$61,MATCH(LARGE(Dashboard!$AI$2:$AI$61,$A4),Dashboard!$AI$2:$AI$61,0),COLUMNS($D4:W4)))&amp;"/"&amp;INDEX(Beheer!$B$7:$B$36,COLUMNS($D4:W4)))</f>
        <v/>
      </c>
      <c r="X4" s="91" t="str" cm="1">
        <f t="array" ref="X4">IF(OR($A4="",COLUMNS($D4:X4)&gt;Beheer!$C$4),"",N(INDEX(Dashboard!$C$2:$AF$61,MATCH(LARGE(Dashboard!$AI$2:$AI$61,$A4),Dashboard!$AI$2:$AI$61,0),COLUMNS($D4:X4)))&amp;"/"&amp;INDEX(Beheer!$B$7:$B$36,COLUMNS($D4:X4)))</f>
        <v/>
      </c>
      <c r="Y4" s="91" t="str" cm="1">
        <f t="array" ref="Y4">IF(OR($A4="",COLUMNS($D4:Y4)&gt;Beheer!$C$4),"",N(INDEX(Dashboard!$C$2:$AF$61,MATCH(LARGE(Dashboard!$AI$2:$AI$61,$A4),Dashboard!$AI$2:$AI$61,0),COLUMNS($D4:Y4)))&amp;"/"&amp;INDEX(Beheer!$B$7:$B$36,COLUMNS($D4:Y4)))</f>
        <v/>
      </c>
      <c r="Z4" s="91" t="str" cm="1">
        <f t="array" ref="Z4">IF(OR($A4="",COLUMNS($D4:Z4)&gt;Beheer!$C$4),"",N(INDEX(Dashboard!$C$2:$AF$61,MATCH(LARGE(Dashboard!$AI$2:$AI$61,$A4),Dashboard!$AI$2:$AI$61,0),COLUMNS($D4:Z4)))&amp;"/"&amp;INDEX(Beheer!$B$7:$B$36,COLUMNS($D4:Z4)))</f>
        <v/>
      </c>
      <c r="AA4" s="91" t="str" cm="1">
        <f t="array" ref="AA4">IF(OR($A4="",COLUMNS($D4:AA4)&gt;Beheer!$C$4),"",N(INDEX(Dashboard!$C$2:$AF$61,MATCH(LARGE(Dashboard!$AI$2:$AI$61,$A4),Dashboard!$AI$2:$AI$61,0),COLUMNS($D4:AA4)))&amp;"/"&amp;INDEX(Beheer!$B$7:$B$36,COLUMNS($D4:AA4)))</f>
        <v/>
      </c>
      <c r="AB4" s="91" t="str" cm="1">
        <f t="array" ref="AB4">IF(OR($A4="",COLUMNS($D4:AB4)&gt;Beheer!$C$4),"",N(INDEX(Dashboard!$C$2:$AF$61,MATCH(LARGE(Dashboard!$AI$2:$AI$61,$A4),Dashboard!$AI$2:$AI$61,0),COLUMNS($D4:AB4)))&amp;"/"&amp;INDEX(Beheer!$B$7:$B$36,COLUMNS($D4:AB4)))</f>
        <v/>
      </c>
      <c r="AC4" s="91" t="str" cm="1">
        <f t="array" ref="AC4">IF(OR($A4="",COLUMNS($D4:AC4)&gt;Beheer!$C$4),"",N(INDEX(Dashboard!$C$2:$AF$61,MATCH(LARGE(Dashboard!$AI$2:$AI$61,$A4),Dashboard!$AI$2:$AI$61,0),COLUMNS($D4:AC4)))&amp;"/"&amp;INDEX(Beheer!$B$7:$B$36,COLUMNS($D4:AC4)))</f>
        <v/>
      </c>
      <c r="AD4" s="91" t="str" cm="1">
        <f t="array" ref="AD4">IF(OR($A4="",COLUMNS($D4:AD4)&gt;Beheer!$C$4),"",N(INDEX(Dashboard!$C$2:$AF$61,MATCH(LARGE(Dashboard!$AI$2:$AI$61,$A4),Dashboard!$AI$2:$AI$61,0),COLUMNS($D4:AD4)))&amp;"/"&amp;INDEX(Beheer!$B$7:$B$36,COLUMNS($D4:AD4)))</f>
        <v/>
      </c>
      <c r="AE4" s="91" t="str" cm="1">
        <f t="array" ref="AE4">IF(OR($A4="",COLUMNS($D4:AE4)&gt;Beheer!$C$4),"",N(INDEX(Dashboard!$C$2:$AF$61,MATCH(LARGE(Dashboard!$AI$2:$AI$61,$A4),Dashboard!$AI$2:$AI$61,0),COLUMNS($D4:AE4)))&amp;"/"&amp;INDEX(Beheer!$B$7:$B$36,COLUMNS($D4:AE4)))</f>
        <v/>
      </c>
      <c r="AF4" s="91" t="str" cm="1">
        <f t="array" ref="AF4">IF(OR($A4="",COLUMNS($D4:AF4)&gt;Beheer!$C$4),"",N(INDEX(Dashboard!$C$2:$AF$61,MATCH(LARGE(Dashboard!$AI$2:$AI$61,$A4),Dashboard!$AI$2:$AI$61,0),COLUMNS($D4:AF4)))&amp;"/"&amp;INDEX(Beheer!$B$7:$B$36,COLUMNS($D4:AF4)))</f>
        <v/>
      </c>
      <c r="AG4" s="91" t="str" cm="1">
        <f t="array" ref="AG4">IF(OR($A4="",COLUMNS($D4:AG4)&gt;Beheer!$C$4),"",N(INDEX(Dashboard!$C$2:$AF$61,MATCH(LARGE(Dashboard!$AI$2:$AI$61,$A4),Dashboard!$AI$2:$AI$61,0),COLUMNS($D4:AG4)))&amp;"/"&amp;INDEX(Beheer!$B$7:$B$36,COLUMNS($D4:AG4)))</f>
        <v/>
      </c>
    </row>
    <row r="5" spans="1:33" ht="24" customHeight="1" thickBot="1" x14ac:dyDescent="0.5">
      <c r="A5" s="98">
        <f>IF(ROWS($A$2:A5)&gt;COUNTA(Beheer!$F$7:$F$66),"",ROWS($A$2:A5))</f>
        <v>4</v>
      </c>
      <c r="B5" s="101" t="str">
        <f>IF($A5="","",INDEX(Dashboard!$A$2:$A$61,MATCH(LARGE(Dashboard!$AI$2:$AI$61,$A5),Dashboard!$AI$2:$AI$61,0)))</f>
        <v>De Stoute Schoenen</v>
      </c>
      <c r="C5" s="96" t="str">
        <f>IF($A5="","",INDEX(Dashboard!$AG$2:$AG$61,MATCH(LARGE(Dashboard!$AI$2:$AI$61,$A5),Dashboard!$AI$2:$AI$61,0))&amp;" / "&amp;INDEX(Dashboard!$AH$2:$AH$61,MATCH(LARGE(Dashboard!$AI$2:$AI$61,$A5),Dashboard!$AI$2:$AI$61,0)))</f>
        <v>82 / 130</v>
      </c>
      <c r="D5" s="97" t="str" cm="1">
        <f t="array" ref="D5">IF(OR($A5="",COLUMNS($D5:D5)&gt;Beheer!$C$4),"",N(INDEX(Dashboard!$C$2:$AF$61,MATCH(LARGE(Dashboard!$AI$2:$AI$61,$A5),Dashboard!$AI$2:$AI$61,0),COLUMNS($D5:D5)))&amp;"/"&amp;INDEX(Beheer!$B$7:$B$36,COLUMNS($D5:D5)))</f>
        <v>8/10</v>
      </c>
      <c r="E5" s="97" t="str" cm="1">
        <f t="array" ref="E5">IF(OR($A5="",COLUMNS($D5:E5)&gt;Beheer!$C$4),"",N(INDEX(Dashboard!$C$2:$AF$61,MATCH(LARGE(Dashboard!$AI$2:$AI$61,$A5),Dashboard!$AI$2:$AI$61,0),COLUMNS($D5:E5)))&amp;"/"&amp;INDEX(Beheer!$B$7:$B$36,COLUMNS($D5:E5)))</f>
        <v>9/10</v>
      </c>
      <c r="F5" s="97" t="str" cm="1">
        <f t="array" ref="F5">IF(OR($A5="",COLUMNS($D5:F5)&gt;Beheer!$C$4),"",N(INDEX(Dashboard!$C$2:$AF$61,MATCH(LARGE(Dashboard!$AI$2:$AI$61,$A5),Dashboard!$AI$2:$AI$61,0),COLUMNS($D5:F5)))&amp;"/"&amp;INDEX(Beheer!$B$7:$B$36,COLUMNS($D5:F5)))</f>
        <v>5/10</v>
      </c>
      <c r="G5" s="97" t="str" cm="1">
        <f t="array" ref="G5">IF(OR($A5="",COLUMNS($D5:G5)&gt;Beheer!$C$4),"",N(INDEX(Dashboard!$C$2:$AF$61,MATCH(LARGE(Dashboard!$AI$2:$AI$61,$A5),Dashboard!$AI$2:$AI$61,0),COLUMNS($D5:G5)))&amp;"/"&amp;INDEX(Beheer!$B$7:$B$36,COLUMNS($D5:G5)))</f>
        <v>20/20</v>
      </c>
      <c r="H5" s="97" t="str" cm="1">
        <f t="array" ref="H5">IF(OR($A5="",COLUMNS($D5:H5)&gt;Beheer!$C$4),"",N(INDEX(Dashboard!$C$2:$AF$61,MATCH(LARGE(Dashboard!$AI$2:$AI$61,$A5),Dashboard!$AI$2:$AI$61,0),COLUMNS($D5:H5)))&amp;"/"&amp;INDEX(Beheer!$B$7:$B$36,COLUMNS($D5:H5)))</f>
        <v>3/10</v>
      </c>
      <c r="I5" s="97" t="str" cm="1">
        <f t="array" ref="I5">IF(OR($A5="",COLUMNS($D5:I5)&gt;Beheer!$C$4),"",N(INDEX(Dashboard!$C$2:$AF$61,MATCH(LARGE(Dashboard!$AI$2:$AI$61,$A5),Dashboard!$AI$2:$AI$61,0),COLUMNS($D5:I5)))&amp;"/"&amp;INDEX(Beheer!$B$7:$B$36,COLUMNS($D5:I5)))</f>
        <v>8/10</v>
      </c>
      <c r="J5" s="97" t="str" cm="1">
        <f t="array" ref="J5">IF(OR($A5="",COLUMNS($D5:J5)&gt;Beheer!$C$4),"",N(INDEX(Dashboard!$C$2:$AF$61,MATCH(LARGE(Dashboard!$AI$2:$AI$61,$A5),Dashboard!$AI$2:$AI$61,0),COLUMNS($D5:J5)))&amp;"/"&amp;INDEX(Beheer!$B$7:$B$36,COLUMNS($D5:J5)))</f>
        <v>7/10</v>
      </c>
      <c r="K5" s="97" t="str" cm="1">
        <f t="array" ref="K5">IF(OR($A5="",COLUMNS($D5:K5)&gt;Beheer!$C$4),"",N(INDEX(Dashboard!$C$2:$AF$61,MATCH(LARGE(Dashboard!$AI$2:$AI$61,$A5),Dashboard!$AI$2:$AI$61,0),COLUMNS($D5:K5)))&amp;"/"&amp;INDEX(Beheer!$B$7:$B$36,COLUMNS($D5:K5)))</f>
        <v>13/15</v>
      </c>
      <c r="L5" s="97" t="str" cm="1">
        <f t="array" ref="L5">IF(OR($A5="",COLUMNS($D5:L5)&gt;Beheer!$C$4),"",N(INDEX(Dashboard!$C$2:$AF$61,MATCH(LARGE(Dashboard!$AI$2:$AI$61,$A5),Dashboard!$AI$2:$AI$61,0),COLUMNS($D5:L5)))&amp;"/"&amp;INDEX(Beheer!$B$7:$B$36,COLUMNS($D5:L5)))</f>
        <v>2/10</v>
      </c>
      <c r="M5" s="97" t="str" cm="1">
        <f t="array" ref="M5">IF(OR($A5="",COLUMNS($D5:M5)&gt;Beheer!$C$4),"",N(INDEX(Dashboard!$C$2:$AF$61,MATCH(LARGE(Dashboard!$AI$2:$AI$61,$A5),Dashboard!$AI$2:$AI$61,0),COLUMNS($D5:M5)))&amp;"/"&amp;INDEX(Beheer!$B$7:$B$36,COLUMNS($D5:M5)))</f>
        <v>2/10</v>
      </c>
      <c r="N5" s="97" t="str" cm="1">
        <f t="array" ref="N5">IF(OR($A5="",COLUMNS($D5:N5)&gt;Beheer!$C$4),"",N(INDEX(Dashboard!$C$2:$AF$61,MATCH(LARGE(Dashboard!$AI$2:$AI$61,$A5),Dashboard!$AI$2:$AI$61,0),COLUMNS($D5:N5)))&amp;"/"&amp;INDEX(Beheer!$B$7:$B$36,COLUMNS($D5:N5)))</f>
        <v>1/5</v>
      </c>
      <c r="O5" s="97" t="str" cm="1">
        <f t="array" ref="O5">IF(OR($A5="",COLUMNS($D5:O5)&gt;Beheer!$C$4),"",N(INDEX(Dashboard!$C$2:$AF$61,MATCH(LARGE(Dashboard!$AI$2:$AI$61,$A5),Dashboard!$AI$2:$AI$61,0),COLUMNS($D5:O5)))&amp;"/"&amp;INDEX(Beheer!$B$7:$B$36,COLUMNS($D5:O5)))</f>
        <v>4/10</v>
      </c>
      <c r="P5" s="97" t="str" cm="1">
        <f t="array" ref="P5">IF(OR($A5="",COLUMNS($D5:P5)&gt;Beheer!$C$4),"",N(INDEX(Dashboard!$C$2:$AF$61,MATCH(LARGE(Dashboard!$AI$2:$AI$61,$A5),Dashboard!$AI$2:$AI$61,0),COLUMNS($D5:P5)))&amp;"/"&amp;INDEX(Beheer!$B$7:$B$36,COLUMNS($D5:P5)))</f>
        <v/>
      </c>
      <c r="Q5" s="97" t="str" cm="1">
        <f t="array" ref="Q5">IF(OR($A5="",COLUMNS($D5:Q5)&gt;Beheer!$C$4),"",N(INDEX(Dashboard!$C$2:$AF$61,MATCH(LARGE(Dashboard!$AI$2:$AI$61,$A5),Dashboard!$AI$2:$AI$61,0),COLUMNS($D5:Q5)))&amp;"/"&amp;INDEX(Beheer!$B$7:$B$36,COLUMNS($D5:Q5)))</f>
        <v/>
      </c>
      <c r="R5" s="97" t="str" cm="1">
        <f t="array" ref="R5">IF(OR($A5="",COLUMNS($D5:R5)&gt;Beheer!$C$4),"",N(INDEX(Dashboard!$C$2:$AF$61,MATCH(LARGE(Dashboard!$AI$2:$AI$61,$A5),Dashboard!$AI$2:$AI$61,0),COLUMNS($D5:R5)))&amp;"/"&amp;INDEX(Beheer!$B$7:$B$36,COLUMNS($D5:R5)))</f>
        <v/>
      </c>
      <c r="S5" s="97" t="str" cm="1">
        <f t="array" ref="S5">IF(OR($A5="",COLUMNS($D5:S5)&gt;Beheer!$C$4),"",N(INDEX(Dashboard!$C$2:$AF$61,MATCH(LARGE(Dashboard!$AI$2:$AI$61,$A5),Dashboard!$AI$2:$AI$61,0),COLUMNS($D5:S5)))&amp;"/"&amp;INDEX(Beheer!$B$7:$B$36,COLUMNS($D5:S5)))</f>
        <v/>
      </c>
      <c r="T5" s="97" t="str" cm="1">
        <f t="array" ref="T5">IF(OR($A5="",COLUMNS($D5:T5)&gt;Beheer!$C$4),"",N(INDEX(Dashboard!$C$2:$AF$61,MATCH(LARGE(Dashboard!$AI$2:$AI$61,$A5),Dashboard!$AI$2:$AI$61,0),COLUMNS($D5:T5)))&amp;"/"&amp;INDEX(Beheer!$B$7:$B$36,COLUMNS($D5:T5)))</f>
        <v/>
      </c>
      <c r="U5" s="97" t="str" cm="1">
        <f t="array" ref="U5">IF(OR($A5="",COLUMNS($D5:U5)&gt;Beheer!$C$4),"",N(INDEX(Dashboard!$C$2:$AF$61,MATCH(LARGE(Dashboard!$AI$2:$AI$61,$A5),Dashboard!$AI$2:$AI$61,0),COLUMNS($D5:U5)))&amp;"/"&amp;INDEX(Beheer!$B$7:$B$36,COLUMNS($D5:U5)))</f>
        <v/>
      </c>
      <c r="V5" s="97" t="str" cm="1">
        <f t="array" ref="V5">IF(OR($A5="",COLUMNS($D5:V5)&gt;Beheer!$C$4),"",N(INDEX(Dashboard!$C$2:$AF$61,MATCH(LARGE(Dashboard!$AI$2:$AI$61,$A5),Dashboard!$AI$2:$AI$61,0),COLUMNS($D5:V5)))&amp;"/"&amp;INDEX(Beheer!$B$7:$B$36,COLUMNS($D5:V5)))</f>
        <v/>
      </c>
      <c r="W5" s="97" t="str" cm="1">
        <f t="array" ref="W5">IF(OR($A5="",COLUMNS($D5:W5)&gt;Beheer!$C$4),"",N(INDEX(Dashboard!$C$2:$AF$61,MATCH(LARGE(Dashboard!$AI$2:$AI$61,$A5),Dashboard!$AI$2:$AI$61,0),COLUMNS($D5:W5)))&amp;"/"&amp;INDEX(Beheer!$B$7:$B$36,COLUMNS($D5:W5)))</f>
        <v/>
      </c>
      <c r="X5" s="97" t="str" cm="1">
        <f t="array" ref="X5">IF(OR($A5="",COLUMNS($D5:X5)&gt;Beheer!$C$4),"",N(INDEX(Dashboard!$C$2:$AF$61,MATCH(LARGE(Dashboard!$AI$2:$AI$61,$A5),Dashboard!$AI$2:$AI$61,0),COLUMNS($D5:X5)))&amp;"/"&amp;INDEX(Beheer!$B$7:$B$36,COLUMNS($D5:X5)))</f>
        <v/>
      </c>
      <c r="Y5" s="97" t="str" cm="1">
        <f t="array" ref="Y5">IF(OR($A5="",COLUMNS($D5:Y5)&gt;Beheer!$C$4),"",N(INDEX(Dashboard!$C$2:$AF$61,MATCH(LARGE(Dashboard!$AI$2:$AI$61,$A5),Dashboard!$AI$2:$AI$61,0),COLUMNS($D5:Y5)))&amp;"/"&amp;INDEX(Beheer!$B$7:$B$36,COLUMNS($D5:Y5)))</f>
        <v/>
      </c>
      <c r="Z5" s="97" t="str" cm="1">
        <f t="array" ref="Z5">IF(OR($A5="",COLUMNS($D5:Z5)&gt;Beheer!$C$4),"",N(INDEX(Dashboard!$C$2:$AF$61,MATCH(LARGE(Dashboard!$AI$2:$AI$61,$A5),Dashboard!$AI$2:$AI$61,0),COLUMNS($D5:Z5)))&amp;"/"&amp;INDEX(Beheer!$B$7:$B$36,COLUMNS($D5:Z5)))</f>
        <v/>
      </c>
      <c r="AA5" s="97" t="str" cm="1">
        <f t="array" ref="AA5">IF(OR($A5="",COLUMNS($D5:AA5)&gt;Beheer!$C$4),"",N(INDEX(Dashboard!$C$2:$AF$61,MATCH(LARGE(Dashboard!$AI$2:$AI$61,$A5),Dashboard!$AI$2:$AI$61,0),COLUMNS($D5:AA5)))&amp;"/"&amp;INDEX(Beheer!$B$7:$B$36,COLUMNS($D5:AA5)))</f>
        <v/>
      </c>
      <c r="AB5" s="97" t="str" cm="1">
        <f t="array" ref="AB5">IF(OR($A5="",COLUMNS($D5:AB5)&gt;Beheer!$C$4),"",N(INDEX(Dashboard!$C$2:$AF$61,MATCH(LARGE(Dashboard!$AI$2:$AI$61,$A5),Dashboard!$AI$2:$AI$61,0),COLUMNS($D5:AB5)))&amp;"/"&amp;INDEX(Beheer!$B$7:$B$36,COLUMNS($D5:AB5)))</f>
        <v/>
      </c>
      <c r="AC5" s="97" t="str" cm="1">
        <f t="array" ref="AC5">IF(OR($A5="",COLUMNS($D5:AC5)&gt;Beheer!$C$4),"",N(INDEX(Dashboard!$C$2:$AF$61,MATCH(LARGE(Dashboard!$AI$2:$AI$61,$A5),Dashboard!$AI$2:$AI$61,0),COLUMNS($D5:AC5)))&amp;"/"&amp;INDEX(Beheer!$B$7:$B$36,COLUMNS($D5:AC5)))</f>
        <v/>
      </c>
      <c r="AD5" s="97" t="str" cm="1">
        <f t="array" ref="AD5">IF(OR($A5="",COLUMNS($D5:AD5)&gt;Beheer!$C$4),"",N(INDEX(Dashboard!$C$2:$AF$61,MATCH(LARGE(Dashboard!$AI$2:$AI$61,$A5),Dashboard!$AI$2:$AI$61,0),COLUMNS($D5:AD5)))&amp;"/"&amp;INDEX(Beheer!$B$7:$B$36,COLUMNS($D5:AD5)))</f>
        <v/>
      </c>
      <c r="AE5" s="97" t="str" cm="1">
        <f t="array" ref="AE5">IF(OR($A5="",COLUMNS($D5:AE5)&gt;Beheer!$C$4),"",N(INDEX(Dashboard!$C$2:$AF$61,MATCH(LARGE(Dashboard!$AI$2:$AI$61,$A5),Dashboard!$AI$2:$AI$61,0),COLUMNS($D5:AE5)))&amp;"/"&amp;INDEX(Beheer!$B$7:$B$36,COLUMNS($D5:AE5)))</f>
        <v/>
      </c>
      <c r="AF5" s="97" t="str" cm="1">
        <f t="array" ref="AF5">IF(OR($A5="",COLUMNS($D5:AF5)&gt;Beheer!$C$4),"",N(INDEX(Dashboard!$C$2:$AF$61,MATCH(LARGE(Dashboard!$AI$2:$AI$61,$A5),Dashboard!$AI$2:$AI$61,0),COLUMNS($D5:AF5)))&amp;"/"&amp;INDEX(Beheer!$B$7:$B$36,COLUMNS($D5:AF5)))</f>
        <v/>
      </c>
      <c r="AG5" s="97" t="str" cm="1">
        <f t="array" ref="AG5">IF(OR($A5="",COLUMNS($D5:AG5)&gt;Beheer!$C$4),"",N(INDEX(Dashboard!$C$2:$AF$61,MATCH(LARGE(Dashboard!$AI$2:$AI$61,$A5),Dashboard!$AI$2:$AI$61,0),COLUMNS($D5:AG5)))&amp;"/"&amp;INDEX(Beheer!$B$7:$B$36,COLUMNS($D5:AG5)))</f>
        <v/>
      </c>
    </row>
    <row r="6" spans="1:33" ht="24" customHeight="1" thickBot="1" x14ac:dyDescent="0.5">
      <c r="A6" s="99">
        <f>IF(ROWS($A$2:A6)&gt;COUNTA(Beheer!$F$7:$F$66),"",ROWS($A$2:A6))</f>
        <v>5</v>
      </c>
      <c r="B6" s="102" t="str">
        <f>IF($A6="","",INDEX(Dashboard!$A$2:$A$61,MATCH(LARGE(Dashboard!$AI$2:$AI$61,$A6),Dashboard!$AI$2:$AI$61,0)))</f>
        <v>De Plezante Pintjes</v>
      </c>
      <c r="C6" s="94" t="str">
        <f>IF($A6="","",INDEX(Dashboard!$AG$2:$AG$61,MATCH(LARGE(Dashboard!$AI$2:$AI$61,$A6),Dashboard!$AI$2:$AI$61,0))&amp;" / "&amp;INDEX(Dashboard!$AH$2:$AH$61,MATCH(LARGE(Dashboard!$AI$2:$AI$61,$A6),Dashboard!$AI$2:$AI$61,0)))</f>
        <v>81 / 130</v>
      </c>
      <c r="D6" s="95" t="str" cm="1">
        <f t="array" ref="D6">IF(OR($A6="",COLUMNS($D6:D6)&gt;Beheer!$C$4),"",N(INDEX(Dashboard!$C$2:$AF$61,MATCH(LARGE(Dashboard!$AI$2:$AI$61,$A6),Dashboard!$AI$2:$AI$61,0),COLUMNS($D6:D6)))&amp;"/"&amp;INDEX(Beheer!$B$7:$B$36,COLUMNS($D6:D6)))</f>
        <v>7/10</v>
      </c>
      <c r="E6" s="95" t="str" cm="1">
        <f t="array" ref="E6">IF(OR($A6="",COLUMNS($D6:E6)&gt;Beheer!$C$4),"",N(INDEX(Dashboard!$C$2:$AF$61,MATCH(LARGE(Dashboard!$AI$2:$AI$61,$A6),Dashboard!$AI$2:$AI$61,0),COLUMNS($D6:E6)))&amp;"/"&amp;INDEX(Beheer!$B$7:$B$36,COLUMNS($D6:E6)))</f>
        <v>6/10</v>
      </c>
      <c r="F6" s="95" t="str" cm="1">
        <f t="array" ref="F6">IF(OR($A6="",COLUMNS($D6:F6)&gt;Beheer!$C$4),"",N(INDEX(Dashboard!$C$2:$AF$61,MATCH(LARGE(Dashboard!$AI$2:$AI$61,$A6),Dashboard!$AI$2:$AI$61,0),COLUMNS($D6:F6)))&amp;"/"&amp;INDEX(Beheer!$B$7:$B$36,COLUMNS($D6:F6)))</f>
        <v>3/10</v>
      </c>
      <c r="G6" s="95" t="str" cm="1">
        <f t="array" ref="G6">IF(OR($A6="",COLUMNS($D6:G6)&gt;Beheer!$C$4),"",N(INDEX(Dashboard!$C$2:$AF$61,MATCH(LARGE(Dashboard!$AI$2:$AI$61,$A6),Dashboard!$AI$2:$AI$61,0),COLUMNS($D6:G6)))&amp;"/"&amp;INDEX(Beheer!$B$7:$B$36,COLUMNS($D6:G6)))</f>
        <v>5/20</v>
      </c>
      <c r="H6" s="95" t="str" cm="1">
        <f t="array" ref="H6">IF(OR($A6="",COLUMNS($D6:H6)&gt;Beheer!$C$4),"",N(INDEX(Dashboard!$C$2:$AF$61,MATCH(LARGE(Dashboard!$AI$2:$AI$61,$A6),Dashboard!$AI$2:$AI$61,0),COLUMNS($D6:H6)))&amp;"/"&amp;INDEX(Beheer!$B$7:$B$36,COLUMNS($D6:H6)))</f>
        <v>10/10</v>
      </c>
      <c r="I6" s="95" t="str" cm="1">
        <f t="array" ref="I6">IF(OR($A6="",COLUMNS($D6:I6)&gt;Beheer!$C$4),"",N(INDEX(Dashboard!$C$2:$AF$61,MATCH(LARGE(Dashboard!$AI$2:$AI$61,$A6),Dashboard!$AI$2:$AI$61,0),COLUMNS($D6:I6)))&amp;"/"&amp;INDEX(Beheer!$B$7:$B$36,COLUMNS($D6:I6)))</f>
        <v>6/10</v>
      </c>
      <c r="J6" s="95" t="str" cm="1">
        <f t="array" ref="J6">IF(OR($A6="",COLUMNS($D6:J6)&gt;Beheer!$C$4),"",N(INDEX(Dashboard!$C$2:$AF$61,MATCH(LARGE(Dashboard!$AI$2:$AI$61,$A6),Dashboard!$AI$2:$AI$61,0),COLUMNS($D6:J6)))&amp;"/"&amp;INDEX(Beheer!$B$7:$B$36,COLUMNS($D6:J6)))</f>
        <v>10/10</v>
      </c>
      <c r="K6" s="95" t="str" cm="1">
        <f t="array" ref="K6">IF(OR($A6="",COLUMNS($D6:K6)&gt;Beheer!$C$4),"",N(INDEX(Dashboard!$C$2:$AF$61,MATCH(LARGE(Dashboard!$AI$2:$AI$61,$A6),Dashboard!$AI$2:$AI$61,0),COLUMNS($D6:K6)))&amp;"/"&amp;INDEX(Beheer!$B$7:$B$36,COLUMNS($D6:K6)))</f>
        <v>11/15</v>
      </c>
      <c r="L6" s="95" t="str" cm="1">
        <f t="array" ref="L6">IF(OR($A6="",COLUMNS($D6:L6)&gt;Beheer!$C$4),"",N(INDEX(Dashboard!$C$2:$AF$61,MATCH(LARGE(Dashboard!$AI$2:$AI$61,$A6),Dashboard!$AI$2:$AI$61,0),COLUMNS($D6:L6)))&amp;"/"&amp;INDEX(Beheer!$B$7:$B$36,COLUMNS($D6:L6)))</f>
        <v>3/10</v>
      </c>
      <c r="M6" s="95" t="str" cm="1">
        <f t="array" ref="M6">IF(OR($A6="",COLUMNS($D6:M6)&gt;Beheer!$C$4),"",N(INDEX(Dashboard!$C$2:$AF$61,MATCH(LARGE(Dashboard!$AI$2:$AI$61,$A6),Dashboard!$AI$2:$AI$61,0),COLUMNS($D6:M6)))&amp;"/"&amp;INDEX(Beheer!$B$7:$B$36,COLUMNS($D6:M6)))</f>
        <v>8/10</v>
      </c>
      <c r="N6" s="95" t="str" cm="1">
        <f t="array" ref="N6">IF(OR($A6="",COLUMNS($D6:N6)&gt;Beheer!$C$4),"",N(INDEX(Dashboard!$C$2:$AF$61,MATCH(LARGE(Dashboard!$AI$2:$AI$61,$A6),Dashboard!$AI$2:$AI$61,0),COLUMNS($D6:N6)))&amp;"/"&amp;INDEX(Beheer!$B$7:$B$36,COLUMNS($D6:N6)))</f>
        <v>3/5</v>
      </c>
      <c r="O6" s="95" t="str" cm="1">
        <f t="array" ref="O6">IF(OR($A6="",COLUMNS($D6:O6)&gt;Beheer!$C$4),"",N(INDEX(Dashboard!$C$2:$AF$61,MATCH(LARGE(Dashboard!$AI$2:$AI$61,$A6),Dashboard!$AI$2:$AI$61,0),COLUMNS($D6:O6)))&amp;"/"&amp;INDEX(Beheer!$B$7:$B$36,COLUMNS($D6:O6)))</f>
        <v>9/10</v>
      </c>
      <c r="P6" s="95" t="str" cm="1">
        <f t="array" ref="P6">IF(OR($A6="",COLUMNS($D6:P6)&gt;Beheer!$C$4),"",N(INDEX(Dashboard!$C$2:$AF$61,MATCH(LARGE(Dashboard!$AI$2:$AI$61,$A6),Dashboard!$AI$2:$AI$61,0),COLUMNS($D6:P6)))&amp;"/"&amp;INDEX(Beheer!$B$7:$B$36,COLUMNS($D6:P6)))</f>
        <v/>
      </c>
      <c r="Q6" s="95" t="str" cm="1">
        <f t="array" ref="Q6">IF(OR($A6="",COLUMNS($D6:Q6)&gt;Beheer!$C$4),"",N(INDEX(Dashboard!$C$2:$AF$61,MATCH(LARGE(Dashboard!$AI$2:$AI$61,$A6),Dashboard!$AI$2:$AI$61,0),COLUMNS($D6:Q6)))&amp;"/"&amp;INDEX(Beheer!$B$7:$B$36,COLUMNS($D6:Q6)))</f>
        <v/>
      </c>
      <c r="R6" s="95" t="str" cm="1">
        <f t="array" ref="R6">IF(OR($A6="",COLUMNS($D6:R6)&gt;Beheer!$C$4),"",N(INDEX(Dashboard!$C$2:$AF$61,MATCH(LARGE(Dashboard!$AI$2:$AI$61,$A6),Dashboard!$AI$2:$AI$61,0),COLUMNS($D6:R6)))&amp;"/"&amp;INDEX(Beheer!$B$7:$B$36,COLUMNS($D6:R6)))</f>
        <v/>
      </c>
      <c r="S6" s="95" t="str" cm="1">
        <f t="array" ref="S6">IF(OR($A6="",COLUMNS($D6:S6)&gt;Beheer!$C$4),"",N(INDEX(Dashboard!$C$2:$AF$61,MATCH(LARGE(Dashboard!$AI$2:$AI$61,$A6),Dashboard!$AI$2:$AI$61,0),COLUMNS($D6:S6)))&amp;"/"&amp;INDEX(Beheer!$B$7:$B$36,COLUMNS($D6:S6)))</f>
        <v/>
      </c>
      <c r="T6" s="95" t="str" cm="1">
        <f t="array" ref="T6">IF(OR($A6="",COLUMNS($D6:T6)&gt;Beheer!$C$4),"",N(INDEX(Dashboard!$C$2:$AF$61,MATCH(LARGE(Dashboard!$AI$2:$AI$61,$A6),Dashboard!$AI$2:$AI$61,0),COLUMNS($D6:T6)))&amp;"/"&amp;INDEX(Beheer!$B$7:$B$36,COLUMNS($D6:T6)))</f>
        <v/>
      </c>
      <c r="U6" s="95" t="str" cm="1">
        <f t="array" ref="U6">IF(OR($A6="",COLUMNS($D6:U6)&gt;Beheer!$C$4),"",N(INDEX(Dashboard!$C$2:$AF$61,MATCH(LARGE(Dashboard!$AI$2:$AI$61,$A6),Dashboard!$AI$2:$AI$61,0),COLUMNS($D6:U6)))&amp;"/"&amp;INDEX(Beheer!$B$7:$B$36,COLUMNS($D6:U6)))</f>
        <v/>
      </c>
      <c r="V6" s="95" t="str" cm="1">
        <f t="array" ref="V6">IF(OR($A6="",COLUMNS($D6:V6)&gt;Beheer!$C$4),"",N(INDEX(Dashboard!$C$2:$AF$61,MATCH(LARGE(Dashboard!$AI$2:$AI$61,$A6),Dashboard!$AI$2:$AI$61,0),COLUMNS($D6:V6)))&amp;"/"&amp;INDEX(Beheer!$B$7:$B$36,COLUMNS($D6:V6)))</f>
        <v/>
      </c>
      <c r="W6" s="95" t="str" cm="1">
        <f t="array" ref="W6">IF(OR($A6="",COLUMNS($D6:W6)&gt;Beheer!$C$4),"",N(INDEX(Dashboard!$C$2:$AF$61,MATCH(LARGE(Dashboard!$AI$2:$AI$61,$A6),Dashboard!$AI$2:$AI$61,0),COLUMNS($D6:W6)))&amp;"/"&amp;INDEX(Beheer!$B$7:$B$36,COLUMNS($D6:W6)))</f>
        <v/>
      </c>
      <c r="X6" s="95" t="str" cm="1">
        <f t="array" ref="X6">IF(OR($A6="",COLUMNS($D6:X6)&gt;Beheer!$C$4),"",N(INDEX(Dashboard!$C$2:$AF$61,MATCH(LARGE(Dashboard!$AI$2:$AI$61,$A6),Dashboard!$AI$2:$AI$61,0),COLUMNS($D6:X6)))&amp;"/"&amp;INDEX(Beheer!$B$7:$B$36,COLUMNS($D6:X6)))</f>
        <v/>
      </c>
      <c r="Y6" s="95" t="str" cm="1">
        <f t="array" ref="Y6">IF(OR($A6="",COLUMNS($D6:Y6)&gt;Beheer!$C$4),"",N(INDEX(Dashboard!$C$2:$AF$61,MATCH(LARGE(Dashboard!$AI$2:$AI$61,$A6),Dashboard!$AI$2:$AI$61,0),COLUMNS($D6:Y6)))&amp;"/"&amp;INDEX(Beheer!$B$7:$B$36,COLUMNS($D6:Y6)))</f>
        <v/>
      </c>
      <c r="Z6" s="95" t="str" cm="1">
        <f t="array" ref="Z6">IF(OR($A6="",COLUMNS($D6:Z6)&gt;Beheer!$C$4),"",N(INDEX(Dashboard!$C$2:$AF$61,MATCH(LARGE(Dashboard!$AI$2:$AI$61,$A6),Dashboard!$AI$2:$AI$61,0),COLUMNS($D6:Z6)))&amp;"/"&amp;INDEX(Beheer!$B$7:$B$36,COLUMNS($D6:Z6)))</f>
        <v/>
      </c>
      <c r="AA6" s="95" t="str" cm="1">
        <f t="array" ref="AA6">IF(OR($A6="",COLUMNS($D6:AA6)&gt;Beheer!$C$4),"",N(INDEX(Dashboard!$C$2:$AF$61,MATCH(LARGE(Dashboard!$AI$2:$AI$61,$A6),Dashboard!$AI$2:$AI$61,0),COLUMNS($D6:AA6)))&amp;"/"&amp;INDEX(Beheer!$B$7:$B$36,COLUMNS($D6:AA6)))</f>
        <v/>
      </c>
      <c r="AB6" s="95" t="str" cm="1">
        <f t="array" ref="AB6">IF(OR($A6="",COLUMNS($D6:AB6)&gt;Beheer!$C$4),"",N(INDEX(Dashboard!$C$2:$AF$61,MATCH(LARGE(Dashboard!$AI$2:$AI$61,$A6),Dashboard!$AI$2:$AI$61,0),COLUMNS($D6:AB6)))&amp;"/"&amp;INDEX(Beheer!$B$7:$B$36,COLUMNS($D6:AB6)))</f>
        <v/>
      </c>
      <c r="AC6" s="95" t="str" cm="1">
        <f t="array" ref="AC6">IF(OR($A6="",COLUMNS($D6:AC6)&gt;Beheer!$C$4),"",N(INDEX(Dashboard!$C$2:$AF$61,MATCH(LARGE(Dashboard!$AI$2:$AI$61,$A6),Dashboard!$AI$2:$AI$61,0),COLUMNS($D6:AC6)))&amp;"/"&amp;INDEX(Beheer!$B$7:$B$36,COLUMNS($D6:AC6)))</f>
        <v/>
      </c>
      <c r="AD6" s="95" t="str" cm="1">
        <f t="array" ref="AD6">IF(OR($A6="",COLUMNS($D6:AD6)&gt;Beheer!$C$4),"",N(INDEX(Dashboard!$C$2:$AF$61,MATCH(LARGE(Dashboard!$AI$2:$AI$61,$A6),Dashboard!$AI$2:$AI$61,0),COLUMNS($D6:AD6)))&amp;"/"&amp;INDEX(Beheer!$B$7:$B$36,COLUMNS($D6:AD6)))</f>
        <v/>
      </c>
      <c r="AE6" s="95" t="str" cm="1">
        <f t="array" ref="AE6">IF(OR($A6="",COLUMNS($D6:AE6)&gt;Beheer!$C$4),"",N(INDEX(Dashboard!$C$2:$AF$61,MATCH(LARGE(Dashboard!$AI$2:$AI$61,$A6),Dashboard!$AI$2:$AI$61,0),COLUMNS($D6:AE6)))&amp;"/"&amp;INDEX(Beheer!$B$7:$B$36,COLUMNS($D6:AE6)))</f>
        <v/>
      </c>
      <c r="AF6" s="95" t="str" cm="1">
        <f t="array" ref="AF6">IF(OR($A6="",COLUMNS($D6:AF6)&gt;Beheer!$C$4),"",N(INDEX(Dashboard!$C$2:$AF$61,MATCH(LARGE(Dashboard!$AI$2:$AI$61,$A6),Dashboard!$AI$2:$AI$61,0),COLUMNS($D6:AF6)))&amp;"/"&amp;INDEX(Beheer!$B$7:$B$36,COLUMNS($D6:AF6)))</f>
        <v/>
      </c>
      <c r="AG6" s="95" t="str" cm="1">
        <f t="array" ref="AG6">IF(OR($A6="",COLUMNS($D6:AG6)&gt;Beheer!$C$4),"",N(INDEX(Dashboard!$C$2:$AF$61,MATCH(LARGE(Dashboard!$AI$2:$AI$61,$A6),Dashboard!$AI$2:$AI$61,0),COLUMNS($D6:AG6)))&amp;"/"&amp;INDEX(Beheer!$B$7:$B$36,COLUMNS($D6:AG6)))</f>
        <v/>
      </c>
    </row>
    <row r="7" spans="1:33" ht="24" customHeight="1" thickBot="1" x14ac:dyDescent="0.5">
      <c r="A7" s="98">
        <f>IF(ROWS($A$2:A7)&gt;COUNTA(Beheer!$F$7:$F$66),"",ROWS($A$2:A7))</f>
        <v>6</v>
      </c>
      <c r="B7" s="101" t="str">
        <f>IF($A7="","",INDEX(Dashboard!$A$2:$A$61,MATCH(LARGE(Dashboard!$AI$2:$AI$61,$A7),Dashboard!$AI$2:$AI$61,0)))</f>
        <v>Manneke Pis &amp; Co</v>
      </c>
      <c r="C7" s="96" t="str">
        <f>IF($A7="","",INDEX(Dashboard!$AG$2:$AG$61,MATCH(LARGE(Dashboard!$AI$2:$AI$61,$A7),Dashboard!$AI$2:$AI$61,0))&amp;" / "&amp;INDEX(Dashboard!$AH$2:$AH$61,MATCH(LARGE(Dashboard!$AI$2:$AI$61,$A7),Dashboard!$AI$2:$AI$61,0)))</f>
        <v>80 / 130</v>
      </c>
      <c r="D7" s="97" t="str" cm="1">
        <f t="array" ref="D7">IF(OR($A7="",COLUMNS($D7:D7)&gt;Beheer!$C$4),"",N(INDEX(Dashboard!$C$2:$AF$61,MATCH(LARGE(Dashboard!$AI$2:$AI$61,$A7),Dashboard!$AI$2:$AI$61,0),COLUMNS($D7:D7)))&amp;"/"&amp;INDEX(Beheer!$B$7:$B$36,COLUMNS($D7:D7)))</f>
        <v>10/10</v>
      </c>
      <c r="E7" s="97" t="str" cm="1">
        <f t="array" ref="E7">IF(OR($A7="",COLUMNS($D7:E7)&gt;Beheer!$C$4),"",N(INDEX(Dashboard!$C$2:$AF$61,MATCH(LARGE(Dashboard!$AI$2:$AI$61,$A7),Dashboard!$AI$2:$AI$61,0),COLUMNS($D7:E7)))&amp;"/"&amp;INDEX(Beheer!$B$7:$B$36,COLUMNS($D7:E7)))</f>
        <v>8/10</v>
      </c>
      <c r="F7" s="97" t="str" cm="1">
        <f t="array" ref="F7">IF(OR($A7="",COLUMNS($D7:F7)&gt;Beheer!$C$4),"",N(INDEX(Dashboard!$C$2:$AF$61,MATCH(LARGE(Dashboard!$AI$2:$AI$61,$A7),Dashboard!$AI$2:$AI$61,0),COLUMNS($D7:F7)))&amp;"/"&amp;INDEX(Beheer!$B$7:$B$36,COLUMNS($D7:F7)))</f>
        <v>9/10</v>
      </c>
      <c r="G7" s="97" t="str" cm="1">
        <f t="array" ref="G7">IF(OR($A7="",COLUMNS($D7:G7)&gt;Beheer!$C$4),"",N(INDEX(Dashboard!$C$2:$AF$61,MATCH(LARGE(Dashboard!$AI$2:$AI$61,$A7),Dashboard!$AI$2:$AI$61,0),COLUMNS($D7:G7)))&amp;"/"&amp;INDEX(Beheer!$B$7:$B$36,COLUMNS($D7:G7)))</f>
        <v>4/20</v>
      </c>
      <c r="H7" s="97" t="str" cm="1">
        <f t="array" ref="H7">IF(OR($A7="",COLUMNS($D7:H7)&gt;Beheer!$C$4),"",N(INDEX(Dashboard!$C$2:$AF$61,MATCH(LARGE(Dashboard!$AI$2:$AI$61,$A7),Dashboard!$AI$2:$AI$61,0),COLUMNS($D7:H7)))&amp;"/"&amp;INDEX(Beheer!$B$7:$B$36,COLUMNS($D7:H7)))</f>
        <v>9/10</v>
      </c>
      <c r="I7" s="97" t="str" cm="1">
        <f t="array" ref="I7">IF(OR($A7="",COLUMNS($D7:I7)&gt;Beheer!$C$4),"",N(INDEX(Dashboard!$C$2:$AF$61,MATCH(LARGE(Dashboard!$AI$2:$AI$61,$A7),Dashboard!$AI$2:$AI$61,0),COLUMNS($D7:I7)))&amp;"/"&amp;INDEX(Beheer!$B$7:$B$36,COLUMNS($D7:I7)))</f>
        <v>10/10</v>
      </c>
      <c r="J7" s="97" t="str" cm="1">
        <f t="array" ref="J7">IF(OR($A7="",COLUMNS($D7:J7)&gt;Beheer!$C$4),"",N(INDEX(Dashboard!$C$2:$AF$61,MATCH(LARGE(Dashboard!$AI$2:$AI$61,$A7),Dashboard!$AI$2:$AI$61,0),COLUMNS($D7:J7)))&amp;"/"&amp;INDEX(Beheer!$B$7:$B$36,COLUMNS($D7:J7)))</f>
        <v>6/10</v>
      </c>
      <c r="K7" s="97" t="str" cm="1">
        <f t="array" ref="K7">IF(OR($A7="",COLUMNS($D7:K7)&gt;Beheer!$C$4),"",N(INDEX(Dashboard!$C$2:$AF$61,MATCH(LARGE(Dashboard!$AI$2:$AI$61,$A7),Dashboard!$AI$2:$AI$61,0),COLUMNS($D7:K7)))&amp;"/"&amp;INDEX(Beheer!$B$7:$B$36,COLUMNS($D7:K7)))</f>
        <v>2/15</v>
      </c>
      <c r="L7" s="97" t="str" cm="1">
        <f t="array" ref="L7">IF(OR($A7="",COLUMNS($D7:L7)&gt;Beheer!$C$4),"",N(INDEX(Dashboard!$C$2:$AF$61,MATCH(LARGE(Dashboard!$AI$2:$AI$61,$A7),Dashboard!$AI$2:$AI$61,0),COLUMNS($D7:L7)))&amp;"/"&amp;INDEX(Beheer!$B$7:$B$36,COLUMNS($D7:L7)))</f>
        <v>3/10</v>
      </c>
      <c r="M7" s="97" t="str" cm="1">
        <f t="array" ref="M7">IF(OR($A7="",COLUMNS($D7:M7)&gt;Beheer!$C$4),"",N(INDEX(Dashboard!$C$2:$AF$61,MATCH(LARGE(Dashboard!$AI$2:$AI$61,$A7),Dashboard!$AI$2:$AI$61,0),COLUMNS($D7:M7)))&amp;"/"&amp;INDEX(Beheer!$B$7:$B$36,COLUMNS($D7:M7)))</f>
        <v>6/10</v>
      </c>
      <c r="N7" s="97" t="str" cm="1">
        <f t="array" ref="N7">IF(OR($A7="",COLUMNS($D7:N7)&gt;Beheer!$C$4),"",N(INDEX(Dashboard!$C$2:$AF$61,MATCH(LARGE(Dashboard!$AI$2:$AI$61,$A7),Dashboard!$AI$2:$AI$61,0),COLUMNS($D7:N7)))&amp;"/"&amp;INDEX(Beheer!$B$7:$B$36,COLUMNS($D7:N7)))</f>
        <v>4/5</v>
      </c>
      <c r="O7" s="97" t="str" cm="1">
        <f t="array" ref="O7">IF(OR($A7="",COLUMNS($D7:O7)&gt;Beheer!$C$4),"",N(INDEX(Dashboard!$C$2:$AF$61,MATCH(LARGE(Dashboard!$AI$2:$AI$61,$A7),Dashboard!$AI$2:$AI$61,0),COLUMNS($D7:O7)))&amp;"/"&amp;INDEX(Beheer!$B$7:$B$36,COLUMNS($D7:O7)))</f>
        <v>9/10</v>
      </c>
      <c r="P7" s="97" t="str" cm="1">
        <f t="array" ref="P7">IF(OR($A7="",COLUMNS($D7:P7)&gt;Beheer!$C$4),"",N(INDEX(Dashboard!$C$2:$AF$61,MATCH(LARGE(Dashboard!$AI$2:$AI$61,$A7),Dashboard!$AI$2:$AI$61,0),COLUMNS($D7:P7)))&amp;"/"&amp;INDEX(Beheer!$B$7:$B$36,COLUMNS($D7:P7)))</f>
        <v/>
      </c>
      <c r="Q7" s="97" t="str" cm="1">
        <f t="array" ref="Q7">IF(OR($A7="",COLUMNS($D7:Q7)&gt;Beheer!$C$4),"",N(INDEX(Dashboard!$C$2:$AF$61,MATCH(LARGE(Dashboard!$AI$2:$AI$61,$A7),Dashboard!$AI$2:$AI$61,0),COLUMNS($D7:Q7)))&amp;"/"&amp;INDEX(Beheer!$B$7:$B$36,COLUMNS($D7:Q7)))</f>
        <v/>
      </c>
      <c r="R7" s="97" t="str" cm="1">
        <f t="array" ref="R7">IF(OR($A7="",COLUMNS($D7:R7)&gt;Beheer!$C$4),"",N(INDEX(Dashboard!$C$2:$AF$61,MATCH(LARGE(Dashboard!$AI$2:$AI$61,$A7),Dashboard!$AI$2:$AI$61,0),COLUMNS($D7:R7)))&amp;"/"&amp;INDEX(Beheer!$B$7:$B$36,COLUMNS($D7:R7)))</f>
        <v/>
      </c>
      <c r="S7" s="97" t="str" cm="1">
        <f t="array" ref="S7">IF(OR($A7="",COLUMNS($D7:S7)&gt;Beheer!$C$4),"",N(INDEX(Dashboard!$C$2:$AF$61,MATCH(LARGE(Dashboard!$AI$2:$AI$61,$A7),Dashboard!$AI$2:$AI$61,0),COLUMNS($D7:S7)))&amp;"/"&amp;INDEX(Beheer!$B$7:$B$36,COLUMNS($D7:S7)))</f>
        <v/>
      </c>
      <c r="T7" s="97" t="str" cm="1">
        <f t="array" ref="T7">IF(OR($A7="",COLUMNS($D7:T7)&gt;Beheer!$C$4),"",N(INDEX(Dashboard!$C$2:$AF$61,MATCH(LARGE(Dashboard!$AI$2:$AI$61,$A7),Dashboard!$AI$2:$AI$61,0),COLUMNS($D7:T7)))&amp;"/"&amp;INDEX(Beheer!$B$7:$B$36,COLUMNS($D7:T7)))</f>
        <v/>
      </c>
      <c r="U7" s="97" t="str" cm="1">
        <f t="array" ref="U7">IF(OR($A7="",COLUMNS($D7:U7)&gt;Beheer!$C$4),"",N(INDEX(Dashboard!$C$2:$AF$61,MATCH(LARGE(Dashboard!$AI$2:$AI$61,$A7),Dashboard!$AI$2:$AI$61,0),COLUMNS($D7:U7)))&amp;"/"&amp;INDEX(Beheer!$B$7:$B$36,COLUMNS($D7:U7)))</f>
        <v/>
      </c>
      <c r="V7" s="97" t="str" cm="1">
        <f t="array" ref="V7">IF(OR($A7="",COLUMNS($D7:V7)&gt;Beheer!$C$4),"",N(INDEX(Dashboard!$C$2:$AF$61,MATCH(LARGE(Dashboard!$AI$2:$AI$61,$A7),Dashboard!$AI$2:$AI$61,0),COLUMNS($D7:V7)))&amp;"/"&amp;INDEX(Beheer!$B$7:$B$36,COLUMNS($D7:V7)))</f>
        <v/>
      </c>
      <c r="W7" s="97" t="str" cm="1">
        <f t="array" ref="W7">IF(OR($A7="",COLUMNS($D7:W7)&gt;Beheer!$C$4),"",N(INDEX(Dashboard!$C$2:$AF$61,MATCH(LARGE(Dashboard!$AI$2:$AI$61,$A7),Dashboard!$AI$2:$AI$61,0),COLUMNS($D7:W7)))&amp;"/"&amp;INDEX(Beheer!$B$7:$B$36,COLUMNS($D7:W7)))</f>
        <v/>
      </c>
      <c r="X7" s="97" t="str" cm="1">
        <f t="array" ref="X7">IF(OR($A7="",COLUMNS($D7:X7)&gt;Beheer!$C$4),"",N(INDEX(Dashboard!$C$2:$AF$61,MATCH(LARGE(Dashboard!$AI$2:$AI$61,$A7),Dashboard!$AI$2:$AI$61,0),COLUMNS($D7:X7)))&amp;"/"&amp;INDEX(Beheer!$B$7:$B$36,COLUMNS($D7:X7)))</f>
        <v/>
      </c>
      <c r="Y7" s="97" t="str" cm="1">
        <f t="array" ref="Y7">IF(OR($A7="",COLUMNS($D7:Y7)&gt;Beheer!$C$4),"",N(INDEX(Dashboard!$C$2:$AF$61,MATCH(LARGE(Dashboard!$AI$2:$AI$61,$A7),Dashboard!$AI$2:$AI$61,0),COLUMNS($D7:Y7)))&amp;"/"&amp;INDEX(Beheer!$B$7:$B$36,COLUMNS($D7:Y7)))</f>
        <v/>
      </c>
      <c r="Z7" s="97" t="str" cm="1">
        <f t="array" ref="Z7">IF(OR($A7="",COLUMNS($D7:Z7)&gt;Beheer!$C$4),"",N(INDEX(Dashboard!$C$2:$AF$61,MATCH(LARGE(Dashboard!$AI$2:$AI$61,$A7),Dashboard!$AI$2:$AI$61,0),COLUMNS($D7:Z7)))&amp;"/"&amp;INDEX(Beheer!$B$7:$B$36,COLUMNS($D7:Z7)))</f>
        <v/>
      </c>
      <c r="AA7" s="97" t="str" cm="1">
        <f t="array" ref="AA7">IF(OR($A7="",COLUMNS($D7:AA7)&gt;Beheer!$C$4),"",N(INDEX(Dashboard!$C$2:$AF$61,MATCH(LARGE(Dashboard!$AI$2:$AI$61,$A7),Dashboard!$AI$2:$AI$61,0),COLUMNS($D7:AA7)))&amp;"/"&amp;INDEX(Beheer!$B$7:$B$36,COLUMNS($D7:AA7)))</f>
        <v/>
      </c>
      <c r="AB7" s="97" t="str" cm="1">
        <f t="array" ref="AB7">IF(OR($A7="",COLUMNS($D7:AB7)&gt;Beheer!$C$4),"",N(INDEX(Dashboard!$C$2:$AF$61,MATCH(LARGE(Dashboard!$AI$2:$AI$61,$A7),Dashboard!$AI$2:$AI$61,0),COLUMNS($D7:AB7)))&amp;"/"&amp;INDEX(Beheer!$B$7:$B$36,COLUMNS($D7:AB7)))</f>
        <v/>
      </c>
      <c r="AC7" s="97" t="str" cm="1">
        <f t="array" ref="AC7">IF(OR($A7="",COLUMNS($D7:AC7)&gt;Beheer!$C$4),"",N(INDEX(Dashboard!$C$2:$AF$61,MATCH(LARGE(Dashboard!$AI$2:$AI$61,$A7),Dashboard!$AI$2:$AI$61,0),COLUMNS($D7:AC7)))&amp;"/"&amp;INDEX(Beheer!$B$7:$B$36,COLUMNS($D7:AC7)))</f>
        <v/>
      </c>
      <c r="AD7" s="97" t="str" cm="1">
        <f t="array" ref="AD7">IF(OR($A7="",COLUMNS($D7:AD7)&gt;Beheer!$C$4),"",N(INDEX(Dashboard!$C$2:$AF$61,MATCH(LARGE(Dashboard!$AI$2:$AI$61,$A7),Dashboard!$AI$2:$AI$61,0),COLUMNS($D7:AD7)))&amp;"/"&amp;INDEX(Beheer!$B$7:$B$36,COLUMNS($D7:AD7)))</f>
        <v/>
      </c>
      <c r="AE7" s="97" t="str" cm="1">
        <f t="array" ref="AE7">IF(OR($A7="",COLUMNS($D7:AE7)&gt;Beheer!$C$4),"",N(INDEX(Dashboard!$C$2:$AF$61,MATCH(LARGE(Dashboard!$AI$2:$AI$61,$A7),Dashboard!$AI$2:$AI$61,0),COLUMNS($D7:AE7)))&amp;"/"&amp;INDEX(Beheer!$B$7:$B$36,COLUMNS($D7:AE7)))</f>
        <v/>
      </c>
      <c r="AF7" s="97" t="str" cm="1">
        <f t="array" ref="AF7">IF(OR($A7="",COLUMNS($D7:AF7)&gt;Beheer!$C$4),"",N(INDEX(Dashboard!$C$2:$AF$61,MATCH(LARGE(Dashboard!$AI$2:$AI$61,$A7),Dashboard!$AI$2:$AI$61,0),COLUMNS($D7:AF7)))&amp;"/"&amp;INDEX(Beheer!$B$7:$B$36,COLUMNS($D7:AF7)))</f>
        <v/>
      </c>
      <c r="AG7" s="97" t="str" cm="1">
        <f t="array" ref="AG7">IF(OR($A7="",COLUMNS($D7:AG7)&gt;Beheer!$C$4),"",N(INDEX(Dashboard!$C$2:$AF$61,MATCH(LARGE(Dashboard!$AI$2:$AI$61,$A7),Dashboard!$AI$2:$AI$61,0),COLUMNS($D7:AG7)))&amp;"/"&amp;INDEX(Beheer!$B$7:$B$36,COLUMNS($D7:AG7)))</f>
        <v/>
      </c>
    </row>
    <row r="8" spans="1:33" ht="24" customHeight="1" thickBot="1" x14ac:dyDescent="0.5">
      <c r="A8" s="99">
        <f>IF(ROWS($A$2:A8)&gt;COUNTA(Beheer!$F$7:$F$66),"",ROWS($A$2:A8))</f>
        <v>7</v>
      </c>
      <c r="B8" s="102" t="str">
        <f>IF($A8="","",INDEX(Dashboard!$A$2:$A$61,MATCH(LARGE(Dashboard!$AI$2:$AI$61,$A8),Dashboard!$AI$2:$AI$61,0)))</f>
        <v>De Goe Goesting</v>
      </c>
      <c r="C8" s="94" t="str">
        <f>IF($A8="","",INDEX(Dashboard!$AG$2:$AG$61,MATCH(LARGE(Dashboard!$AI$2:$AI$61,$A8),Dashboard!$AI$2:$AI$61,0))&amp;" / "&amp;INDEX(Dashboard!$AH$2:$AH$61,MATCH(LARGE(Dashboard!$AI$2:$AI$61,$A8),Dashboard!$AI$2:$AI$61,0)))</f>
        <v>80 / 130</v>
      </c>
      <c r="D8" s="95" t="str" cm="1">
        <f t="array" ref="D8">IF(OR($A8="",COLUMNS($D8:D8)&gt;Beheer!$C$4),"",N(INDEX(Dashboard!$C$2:$AF$61,MATCH(LARGE(Dashboard!$AI$2:$AI$61,$A8),Dashboard!$AI$2:$AI$61,0),COLUMNS($D8:D8)))&amp;"/"&amp;INDEX(Beheer!$B$7:$B$36,COLUMNS($D8:D8)))</f>
        <v>1/10</v>
      </c>
      <c r="E8" s="95" t="str" cm="1">
        <f t="array" ref="E8">IF(OR($A8="",COLUMNS($D8:E8)&gt;Beheer!$C$4),"",N(INDEX(Dashboard!$C$2:$AF$61,MATCH(LARGE(Dashboard!$AI$2:$AI$61,$A8),Dashboard!$AI$2:$AI$61,0),COLUMNS($D8:E8)))&amp;"/"&amp;INDEX(Beheer!$B$7:$B$36,COLUMNS($D8:E8)))</f>
        <v>8/10</v>
      </c>
      <c r="F8" s="95" t="str" cm="1">
        <f t="array" ref="F8">IF(OR($A8="",COLUMNS($D8:F8)&gt;Beheer!$C$4),"",N(INDEX(Dashboard!$C$2:$AF$61,MATCH(LARGE(Dashboard!$AI$2:$AI$61,$A8),Dashboard!$AI$2:$AI$61,0),COLUMNS($D8:F8)))&amp;"/"&amp;INDEX(Beheer!$B$7:$B$36,COLUMNS($D8:F8)))</f>
        <v>7/10</v>
      </c>
      <c r="G8" s="95" t="str" cm="1">
        <f t="array" ref="G8">IF(OR($A8="",COLUMNS($D8:G8)&gt;Beheer!$C$4),"",N(INDEX(Dashboard!$C$2:$AF$61,MATCH(LARGE(Dashboard!$AI$2:$AI$61,$A8),Dashboard!$AI$2:$AI$61,0),COLUMNS($D8:G8)))&amp;"/"&amp;INDEX(Beheer!$B$7:$B$36,COLUMNS($D8:G8)))</f>
        <v>10/20</v>
      </c>
      <c r="H8" s="95" t="str" cm="1">
        <f t="array" ref="H8">IF(OR($A8="",COLUMNS($D8:H8)&gt;Beheer!$C$4),"",N(INDEX(Dashboard!$C$2:$AF$61,MATCH(LARGE(Dashboard!$AI$2:$AI$61,$A8),Dashboard!$AI$2:$AI$61,0),COLUMNS($D8:H8)))&amp;"/"&amp;INDEX(Beheer!$B$7:$B$36,COLUMNS($D8:H8)))</f>
        <v>9/10</v>
      </c>
      <c r="I8" s="95" t="str" cm="1">
        <f t="array" ref="I8">IF(OR($A8="",COLUMNS($D8:I8)&gt;Beheer!$C$4),"",N(INDEX(Dashboard!$C$2:$AF$61,MATCH(LARGE(Dashboard!$AI$2:$AI$61,$A8),Dashboard!$AI$2:$AI$61,0),COLUMNS($D8:I8)))&amp;"/"&amp;INDEX(Beheer!$B$7:$B$36,COLUMNS($D8:I8)))</f>
        <v>9/10</v>
      </c>
      <c r="J8" s="95" t="str" cm="1">
        <f t="array" ref="J8">IF(OR($A8="",COLUMNS($D8:J8)&gt;Beheer!$C$4),"",N(INDEX(Dashboard!$C$2:$AF$61,MATCH(LARGE(Dashboard!$AI$2:$AI$61,$A8),Dashboard!$AI$2:$AI$61,0),COLUMNS($D8:J8)))&amp;"/"&amp;INDEX(Beheer!$B$7:$B$36,COLUMNS($D8:J8)))</f>
        <v>4/10</v>
      </c>
      <c r="K8" s="95" t="str" cm="1">
        <f t="array" ref="K8">IF(OR($A8="",COLUMNS($D8:K8)&gt;Beheer!$C$4),"",N(INDEX(Dashboard!$C$2:$AF$61,MATCH(LARGE(Dashboard!$AI$2:$AI$61,$A8),Dashboard!$AI$2:$AI$61,0),COLUMNS($D8:K8)))&amp;"/"&amp;INDEX(Beheer!$B$7:$B$36,COLUMNS($D8:K8)))</f>
        <v>7/15</v>
      </c>
      <c r="L8" s="95" t="str" cm="1">
        <f t="array" ref="L8">IF(OR($A8="",COLUMNS($D8:L8)&gt;Beheer!$C$4),"",N(INDEX(Dashboard!$C$2:$AF$61,MATCH(LARGE(Dashboard!$AI$2:$AI$61,$A8),Dashboard!$AI$2:$AI$61,0),COLUMNS($D8:L8)))&amp;"/"&amp;INDEX(Beheer!$B$7:$B$36,COLUMNS($D8:L8)))</f>
        <v>8/10</v>
      </c>
      <c r="M8" s="95" t="str" cm="1">
        <f t="array" ref="M8">IF(OR($A8="",COLUMNS($D8:M8)&gt;Beheer!$C$4),"",N(INDEX(Dashboard!$C$2:$AF$61,MATCH(LARGE(Dashboard!$AI$2:$AI$61,$A8),Dashboard!$AI$2:$AI$61,0),COLUMNS($D8:M8)))&amp;"/"&amp;INDEX(Beheer!$B$7:$B$36,COLUMNS($D8:M8)))</f>
        <v>7/10</v>
      </c>
      <c r="N8" s="95" t="str" cm="1">
        <f t="array" ref="N8">IF(OR($A8="",COLUMNS($D8:N8)&gt;Beheer!$C$4),"",N(INDEX(Dashboard!$C$2:$AF$61,MATCH(LARGE(Dashboard!$AI$2:$AI$61,$A8),Dashboard!$AI$2:$AI$61,0),COLUMNS($D8:N8)))&amp;"/"&amp;INDEX(Beheer!$B$7:$B$36,COLUMNS($D8:N8)))</f>
        <v>1/5</v>
      </c>
      <c r="O8" s="95" t="str" cm="1">
        <f t="array" ref="O8">IF(OR($A8="",COLUMNS($D8:O8)&gt;Beheer!$C$4),"",N(INDEX(Dashboard!$C$2:$AF$61,MATCH(LARGE(Dashboard!$AI$2:$AI$61,$A8),Dashboard!$AI$2:$AI$61,0),COLUMNS($D8:O8)))&amp;"/"&amp;INDEX(Beheer!$B$7:$B$36,COLUMNS($D8:O8)))</f>
        <v>9/10</v>
      </c>
      <c r="P8" s="95" t="str" cm="1">
        <f t="array" ref="P8">IF(OR($A8="",COLUMNS($D8:P8)&gt;Beheer!$C$4),"",N(INDEX(Dashboard!$C$2:$AF$61,MATCH(LARGE(Dashboard!$AI$2:$AI$61,$A8),Dashboard!$AI$2:$AI$61,0),COLUMNS($D8:P8)))&amp;"/"&amp;INDEX(Beheer!$B$7:$B$36,COLUMNS($D8:P8)))</f>
        <v/>
      </c>
      <c r="Q8" s="95" t="str" cm="1">
        <f t="array" ref="Q8">IF(OR($A8="",COLUMNS($D8:Q8)&gt;Beheer!$C$4),"",N(INDEX(Dashboard!$C$2:$AF$61,MATCH(LARGE(Dashboard!$AI$2:$AI$61,$A8),Dashboard!$AI$2:$AI$61,0),COLUMNS($D8:Q8)))&amp;"/"&amp;INDEX(Beheer!$B$7:$B$36,COLUMNS($D8:Q8)))</f>
        <v/>
      </c>
      <c r="R8" s="95" t="str" cm="1">
        <f t="array" ref="R8">IF(OR($A8="",COLUMNS($D8:R8)&gt;Beheer!$C$4),"",N(INDEX(Dashboard!$C$2:$AF$61,MATCH(LARGE(Dashboard!$AI$2:$AI$61,$A8),Dashboard!$AI$2:$AI$61,0),COLUMNS($D8:R8)))&amp;"/"&amp;INDEX(Beheer!$B$7:$B$36,COLUMNS($D8:R8)))</f>
        <v/>
      </c>
      <c r="S8" s="95" t="str" cm="1">
        <f t="array" ref="S8">IF(OR($A8="",COLUMNS($D8:S8)&gt;Beheer!$C$4),"",N(INDEX(Dashboard!$C$2:$AF$61,MATCH(LARGE(Dashboard!$AI$2:$AI$61,$A8),Dashboard!$AI$2:$AI$61,0),COLUMNS($D8:S8)))&amp;"/"&amp;INDEX(Beheer!$B$7:$B$36,COLUMNS($D8:S8)))</f>
        <v/>
      </c>
      <c r="T8" s="95" t="str" cm="1">
        <f t="array" ref="T8">IF(OR($A8="",COLUMNS($D8:T8)&gt;Beheer!$C$4),"",N(INDEX(Dashboard!$C$2:$AF$61,MATCH(LARGE(Dashboard!$AI$2:$AI$61,$A8),Dashboard!$AI$2:$AI$61,0),COLUMNS($D8:T8)))&amp;"/"&amp;INDEX(Beheer!$B$7:$B$36,COLUMNS($D8:T8)))</f>
        <v/>
      </c>
      <c r="U8" s="95" t="str" cm="1">
        <f t="array" ref="U8">IF(OR($A8="",COLUMNS($D8:U8)&gt;Beheer!$C$4),"",N(INDEX(Dashboard!$C$2:$AF$61,MATCH(LARGE(Dashboard!$AI$2:$AI$61,$A8),Dashboard!$AI$2:$AI$61,0),COLUMNS($D8:U8)))&amp;"/"&amp;INDEX(Beheer!$B$7:$B$36,COLUMNS($D8:U8)))</f>
        <v/>
      </c>
      <c r="V8" s="95" t="str" cm="1">
        <f t="array" ref="V8">IF(OR($A8="",COLUMNS($D8:V8)&gt;Beheer!$C$4),"",N(INDEX(Dashboard!$C$2:$AF$61,MATCH(LARGE(Dashboard!$AI$2:$AI$61,$A8),Dashboard!$AI$2:$AI$61,0),COLUMNS($D8:V8)))&amp;"/"&amp;INDEX(Beheer!$B$7:$B$36,COLUMNS($D8:V8)))</f>
        <v/>
      </c>
      <c r="W8" s="95" t="str" cm="1">
        <f t="array" ref="W8">IF(OR($A8="",COLUMNS($D8:W8)&gt;Beheer!$C$4),"",N(INDEX(Dashboard!$C$2:$AF$61,MATCH(LARGE(Dashboard!$AI$2:$AI$61,$A8),Dashboard!$AI$2:$AI$61,0),COLUMNS($D8:W8)))&amp;"/"&amp;INDEX(Beheer!$B$7:$B$36,COLUMNS($D8:W8)))</f>
        <v/>
      </c>
      <c r="X8" s="95" t="str" cm="1">
        <f t="array" ref="X8">IF(OR($A8="",COLUMNS($D8:X8)&gt;Beheer!$C$4),"",N(INDEX(Dashboard!$C$2:$AF$61,MATCH(LARGE(Dashboard!$AI$2:$AI$61,$A8),Dashboard!$AI$2:$AI$61,0),COLUMNS($D8:X8)))&amp;"/"&amp;INDEX(Beheer!$B$7:$B$36,COLUMNS($D8:X8)))</f>
        <v/>
      </c>
      <c r="Y8" s="95" t="str" cm="1">
        <f t="array" ref="Y8">IF(OR($A8="",COLUMNS($D8:Y8)&gt;Beheer!$C$4),"",N(INDEX(Dashboard!$C$2:$AF$61,MATCH(LARGE(Dashboard!$AI$2:$AI$61,$A8),Dashboard!$AI$2:$AI$61,0),COLUMNS($D8:Y8)))&amp;"/"&amp;INDEX(Beheer!$B$7:$B$36,COLUMNS($D8:Y8)))</f>
        <v/>
      </c>
      <c r="Z8" s="95" t="str" cm="1">
        <f t="array" ref="Z8">IF(OR($A8="",COLUMNS($D8:Z8)&gt;Beheer!$C$4),"",N(INDEX(Dashboard!$C$2:$AF$61,MATCH(LARGE(Dashboard!$AI$2:$AI$61,$A8),Dashboard!$AI$2:$AI$61,0),COLUMNS($D8:Z8)))&amp;"/"&amp;INDEX(Beheer!$B$7:$B$36,COLUMNS($D8:Z8)))</f>
        <v/>
      </c>
      <c r="AA8" s="95" t="str" cm="1">
        <f t="array" ref="AA8">IF(OR($A8="",COLUMNS($D8:AA8)&gt;Beheer!$C$4),"",N(INDEX(Dashboard!$C$2:$AF$61,MATCH(LARGE(Dashboard!$AI$2:$AI$61,$A8),Dashboard!$AI$2:$AI$61,0),COLUMNS($D8:AA8)))&amp;"/"&amp;INDEX(Beheer!$B$7:$B$36,COLUMNS($D8:AA8)))</f>
        <v/>
      </c>
      <c r="AB8" s="95" t="str" cm="1">
        <f t="array" ref="AB8">IF(OR($A8="",COLUMNS($D8:AB8)&gt;Beheer!$C$4),"",N(INDEX(Dashboard!$C$2:$AF$61,MATCH(LARGE(Dashboard!$AI$2:$AI$61,$A8),Dashboard!$AI$2:$AI$61,0),COLUMNS($D8:AB8)))&amp;"/"&amp;INDEX(Beheer!$B$7:$B$36,COLUMNS($D8:AB8)))</f>
        <v/>
      </c>
      <c r="AC8" s="95" t="str" cm="1">
        <f t="array" ref="AC8">IF(OR($A8="",COLUMNS($D8:AC8)&gt;Beheer!$C$4),"",N(INDEX(Dashboard!$C$2:$AF$61,MATCH(LARGE(Dashboard!$AI$2:$AI$61,$A8),Dashboard!$AI$2:$AI$61,0),COLUMNS($D8:AC8)))&amp;"/"&amp;INDEX(Beheer!$B$7:$B$36,COLUMNS($D8:AC8)))</f>
        <v/>
      </c>
      <c r="AD8" s="95" t="str" cm="1">
        <f t="array" ref="AD8">IF(OR($A8="",COLUMNS($D8:AD8)&gt;Beheer!$C$4),"",N(INDEX(Dashboard!$C$2:$AF$61,MATCH(LARGE(Dashboard!$AI$2:$AI$61,$A8),Dashboard!$AI$2:$AI$61,0),COLUMNS($D8:AD8)))&amp;"/"&amp;INDEX(Beheer!$B$7:$B$36,COLUMNS($D8:AD8)))</f>
        <v/>
      </c>
      <c r="AE8" s="95" t="str" cm="1">
        <f t="array" ref="AE8">IF(OR($A8="",COLUMNS($D8:AE8)&gt;Beheer!$C$4),"",N(INDEX(Dashboard!$C$2:$AF$61,MATCH(LARGE(Dashboard!$AI$2:$AI$61,$A8),Dashboard!$AI$2:$AI$61,0),COLUMNS($D8:AE8)))&amp;"/"&amp;INDEX(Beheer!$B$7:$B$36,COLUMNS($D8:AE8)))</f>
        <v/>
      </c>
      <c r="AF8" s="95" t="str" cm="1">
        <f t="array" ref="AF8">IF(OR($A8="",COLUMNS($D8:AF8)&gt;Beheer!$C$4),"",N(INDEX(Dashboard!$C$2:$AF$61,MATCH(LARGE(Dashboard!$AI$2:$AI$61,$A8),Dashboard!$AI$2:$AI$61,0),COLUMNS($D8:AF8)))&amp;"/"&amp;INDEX(Beheer!$B$7:$B$36,COLUMNS($D8:AF8)))</f>
        <v/>
      </c>
      <c r="AG8" s="95" t="str" cm="1">
        <f t="array" ref="AG8">IF(OR($A8="",COLUMNS($D8:AG8)&gt;Beheer!$C$4),"",N(INDEX(Dashboard!$C$2:$AF$61,MATCH(LARGE(Dashboard!$AI$2:$AI$61,$A8),Dashboard!$AI$2:$AI$61,0),COLUMNS($D8:AG8)))&amp;"/"&amp;INDEX(Beheer!$B$7:$B$36,COLUMNS($D8:AG8)))</f>
        <v/>
      </c>
    </row>
    <row r="9" spans="1:33" ht="24" customHeight="1" thickBot="1" x14ac:dyDescent="0.5">
      <c r="A9" s="98">
        <f>IF(ROWS($A$2:A9)&gt;COUNTA(Beheer!$F$7:$F$66),"",ROWS($A$2:A9))</f>
        <v>8</v>
      </c>
      <c r="B9" s="101" t="str">
        <f>IF($A9="","",INDEX(Dashboard!$A$2:$A$61,MATCH(LARGE(Dashboard!$AI$2:$AI$61,$A9),Dashboard!$AI$2:$AI$61,0)))</f>
        <v>De Lambiek Liga</v>
      </c>
      <c r="C9" s="96" t="str">
        <f>IF($A9="","",INDEX(Dashboard!$AG$2:$AG$61,MATCH(LARGE(Dashboard!$AI$2:$AI$61,$A9),Dashboard!$AI$2:$AI$61,0))&amp;" / "&amp;INDEX(Dashboard!$AH$2:$AH$61,MATCH(LARGE(Dashboard!$AI$2:$AI$61,$A9),Dashboard!$AI$2:$AI$61,0)))</f>
        <v>79 / 130</v>
      </c>
      <c r="D9" s="97" t="str" cm="1">
        <f t="array" ref="D9">IF(OR($A9="",COLUMNS($D9:D9)&gt;Beheer!$C$4),"",N(INDEX(Dashboard!$C$2:$AF$61,MATCH(LARGE(Dashboard!$AI$2:$AI$61,$A9),Dashboard!$AI$2:$AI$61,0),COLUMNS($D9:D9)))&amp;"/"&amp;INDEX(Beheer!$B$7:$B$36,COLUMNS($D9:D9)))</f>
        <v>10/10</v>
      </c>
      <c r="E9" s="97" t="str" cm="1">
        <f t="array" ref="E9">IF(OR($A9="",COLUMNS($D9:E9)&gt;Beheer!$C$4),"",N(INDEX(Dashboard!$C$2:$AF$61,MATCH(LARGE(Dashboard!$AI$2:$AI$61,$A9),Dashboard!$AI$2:$AI$61,0),COLUMNS($D9:E9)))&amp;"/"&amp;INDEX(Beheer!$B$7:$B$36,COLUMNS($D9:E9)))</f>
        <v>2/10</v>
      </c>
      <c r="F9" s="97" t="str" cm="1">
        <f t="array" ref="F9">IF(OR($A9="",COLUMNS($D9:F9)&gt;Beheer!$C$4),"",N(INDEX(Dashboard!$C$2:$AF$61,MATCH(LARGE(Dashboard!$AI$2:$AI$61,$A9),Dashboard!$AI$2:$AI$61,0),COLUMNS($D9:F9)))&amp;"/"&amp;INDEX(Beheer!$B$7:$B$36,COLUMNS($D9:F9)))</f>
        <v>2/10</v>
      </c>
      <c r="G9" s="97" t="str" cm="1">
        <f t="array" ref="G9">IF(OR($A9="",COLUMNS($D9:G9)&gt;Beheer!$C$4),"",N(INDEX(Dashboard!$C$2:$AF$61,MATCH(LARGE(Dashboard!$AI$2:$AI$61,$A9),Dashboard!$AI$2:$AI$61,0),COLUMNS($D9:G9)))&amp;"/"&amp;INDEX(Beheer!$B$7:$B$36,COLUMNS($D9:G9)))</f>
        <v>7/20</v>
      </c>
      <c r="H9" s="97" t="str" cm="1">
        <f t="array" ref="H9">IF(OR($A9="",COLUMNS($D9:H9)&gt;Beheer!$C$4),"",N(INDEX(Dashboard!$C$2:$AF$61,MATCH(LARGE(Dashboard!$AI$2:$AI$61,$A9),Dashboard!$AI$2:$AI$61,0),COLUMNS($D9:H9)))&amp;"/"&amp;INDEX(Beheer!$B$7:$B$36,COLUMNS($D9:H9)))</f>
        <v>6/10</v>
      </c>
      <c r="I9" s="97" t="str" cm="1">
        <f t="array" ref="I9">IF(OR($A9="",COLUMNS($D9:I9)&gt;Beheer!$C$4),"",N(INDEX(Dashboard!$C$2:$AF$61,MATCH(LARGE(Dashboard!$AI$2:$AI$61,$A9),Dashboard!$AI$2:$AI$61,0),COLUMNS($D9:I9)))&amp;"/"&amp;INDEX(Beheer!$B$7:$B$36,COLUMNS($D9:I9)))</f>
        <v>9/10</v>
      </c>
      <c r="J9" s="97" t="str" cm="1">
        <f t="array" ref="J9">IF(OR($A9="",COLUMNS($D9:J9)&gt;Beheer!$C$4),"",N(INDEX(Dashboard!$C$2:$AF$61,MATCH(LARGE(Dashboard!$AI$2:$AI$61,$A9),Dashboard!$AI$2:$AI$61,0),COLUMNS($D9:J9)))&amp;"/"&amp;INDEX(Beheer!$B$7:$B$36,COLUMNS($D9:J9)))</f>
        <v>8/10</v>
      </c>
      <c r="K9" s="97" t="str" cm="1">
        <f t="array" ref="K9">IF(OR($A9="",COLUMNS($D9:K9)&gt;Beheer!$C$4),"",N(INDEX(Dashboard!$C$2:$AF$61,MATCH(LARGE(Dashboard!$AI$2:$AI$61,$A9),Dashboard!$AI$2:$AI$61,0),COLUMNS($D9:K9)))&amp;"/"&amp;INDEX(Beheer!$B$7:$B$36,COLUMNS($D9:K9)))</f>
        <v>13/15</v>
      </c>
      <c r="L9" s="97" t="str" cm="1">
        <f t="array" ref="L9">IF(OR($A9="",COLUMNS($D9:L9)&gt;Beheer!$C$4),"",N(INDEX(Dashboard!$C$2:$AF$61,MATCH(LARGE(Dashboard!$AI$2:$AI$61,$A9),Dashboard!$AI$2:$AI$61,0),COLUMNS($D9:L9)))&amp;"/"&amp;INDEX(Beheer!$B$7:$B$36,COLUMNS($D9:L9)))</f>
        <v>7/10</v>
      </c>
      <c r="M9" s="97" t="str" cm="1">
        <f t="array" ref="M9">IF(OR($A9="",COLUMNS($D9:M9)&gt;Beheer!$C$4),"",N(INDEX(Dashboard!$C$2:$AF$61,MATCH(LARGE(Dashboard!$AI$2:$AI$61,$A9),Dashboard!$AI$2:$AI$61,0),COLUMNS($D9:M9)))&amp;"/"&amp;INDEX(Beheer!$B$7:$B$36,COLUMNS($D9:M9)))</f>
        <v>6/10</v>
      </c>
      <c r="N9" s="97" t="str" cm="1">
        <f t="array" ref="N9">IF(OR($A9="",COLUMNS($D9:N9)&gt;Beheer!$C$4),"",N(INDEX(Dashboard!$C$2:$AF$61,MATCH(LARGE(Dashboard!$AI$2:$AI$61,$A9),Dashboard!$AI$2:$AI$61,0),COLUMNS($D9:N9)))&amp;"/"&amp;INDEX(Beheer!$B$7:$B$36,COLUMNS($D9:N9)))</f>
        <v>2/5</v>
      </c>
      <c r="O9" s="97" t="str" cm="1">
        <f t="array" ref="O9">IF(OR($A9="",COLUMNS($D9:O9)&gt;Beheer!$C$4),"",N(INDEX(Dashboard!$C$2:$AF$61,MATCH(LARGE(Dashboard!$AI$2:$AI$61,$A9),Dashboard!$AI$2:$AI$61,0),COLUMNS($D9:O9)))&amp;"/"&amp;INDEX(Beheer!$B$7:$B$36,COLUMNS($D9:O9)))</f>
        <v>7/10</v>
      </c>
      <c r="P9" s="97" t="str" cm="1">
        <f t="array" ref="P9">IF(OR($A9="",COLUMNS($D9:P9)&gt;Beheer!$C$4),"",N(INDEX(Dashboard!$C$2:$AF$61,MATCH(LARGE(Dashboard!$AI$2:$AI$61,$A9),Dashboard!$AI$2:$AI$61,0),COLUMNS($D9:P9)))&amp;"/"&amp;INDEX(Beheer!$B$7:$B$36,COLUMNS($D9:P9)))</f>
        <v/>
      </c>
      <c r="Q9" s="97" t="str" cm="1">
        <f t="array" ref="Q9">IF(OR($A9="",COLUMNS($D9:Q9)&gt;Beheer!$C$4),"",N(INDEX(Dashboard!$C$2:$AF$61,MATCH(LARGE(Dashboard!$AI$2:$AI$61,$A9),Dashboard!$AI$2:$AI$61,0),COLUMNS($D9:Q9)))&amp;"/"&amp;INDEX(Beheer!$B$7:$B$36,COLUMNS($D9:Q9)))</f>
        <v/>
      </c>
      <c r="R9" s="97" t="str" cm="1">
        <f t="array" ref="R9">IF(OR($A9="",COLUMNS($D9:R9)&gt;Beheer!$C$4),"",N(INDEX(Dashboard!$C$2:$AF$61,MATCH(LARGE(Dashboard!$AI$2:$AI$61,$A9),Dashboard!$AI$2:$AI$61,0),COLUMNS($D9:R9)))&amp;"/"&amp;INDEX(Beheer!$B$7:$B$36,COLUMNS($D9:R9)))</f>
        <v/>
      </c>
      <c r="S9" s="97" t="str" cm="1">
        <f t="array" ref="S9">IF(OR($A9="",COLUMNS($D9:S9)&gt;Beheer!$C$4),"",N(INDEX(Dashboard!$C$2:$AF$61,MATCH(LARGE(Dashboard!$AI$2:$AI$61,$A9),Dashboard!$AI$2:$AI$61,0),COLUMNS($D9:S9)))&amp;"/"&amp;INDEX(Beheer!$B$7:$B$36,COLUMNS($D9:S9)))</f>
        <v/>
      </c>
      <c r="T9" s="97" t="str" cm="1">
        <f t="array" ref="T9">IF(OR($A9="",COLUMNS($D9:T9)&gt;Beheer!$C$4),"",N(INDEX(Dashboard!$C$2:$AF$61,MATCH(LARGE(Dashboard!$AI$2:$AI$61,$A9),Dashboard!$AI$2:$AI$61,0),COLUMNS($D9:T9)))&amp;"/"&amp;INDEX(Beheer!$B$7:$B$36,COLUMNS($D9:T9)))</f>
        <v/>
      </c>
      <c r="U9" s="97" t="str" cm="1">
        <f t="array" ref="U9">IF(OR($A9="",COLUMNS($D9:U9)&gt;Beheer!$C$4),"",N(INDEX(Dashboard!$C$2:$AF$61,MATCH(LARGE(Dashboard!$AI$2:$AI$61,$A9),Dashboard!$AI$2:$AI$61,0),COLUMNS($D9:U9)))&amp;"/"&amp;INDEX(Beheer!$B$7:$B$36,COLUMNS($D9:U9)))</f>
        <v/>
      </c>
      <c r="V9" s="97" t="str" cm="1">
        <f t="array" ref="V9">IF(OR($A9="",COLUMNS($D9:V9)&gt;Beheer!$C$4),"",N(INDEX(Dashboard!$C$2:$AF$61,MATCH(LARGE(Dashboard!$AI$2:$AI$61,$A9),Dashboard!$AI$2:$AI$61,0),COLUMNS($D9:V9)))&amp;"/"&amp;INDEX(Beheer!$B$7:$B$36,COLUMNS($D9:V9)))</f>
        <v/>
      </c>
      <c r="W9" s="97" t="str" cm="1">
        <f t="array" ref="W9">IF(OR($A9="",COLUMNS($D9:W9)&gt;Beheer!$C$4),"",N(INDEX(Dashboard!$C$2:$AF$61,MATCH(LARGE(Dashboard!$AI$2:$AI$61,$A9),Dashboard!$AI$2:$AI$61,0),COLUMNS($D9:W9)))&amp;"/"&amp;INDEX(Beheer!$B$7:$B$36,COLUMNS($D9:W9)))</f>
        <v/>
      </c>
      <c r="X9" s="97" t="str" cm="1">
        <f t="array" ref="X9">IF(OR($A9="",COLUMNS($D9:X9)&gt;Beheer!$C$4),"",N(INDEX(Dashboard!$C$2:$AF$61,MATCH(LARGE(Dashboard!$AI$2:$AI$61,$A9),Dashboard!$AI$2:$AI$61,0),COLUMNS($D9:X9)))&amp;"/"&amp;INDEX(Beheer!$B$7:$B$36,COLUMNS($D9:X9)))</f>
        <v/>
      </c>
      <c r="Y9" s="97" t="str" cm="1">
        <f t="array" ref="Y9">IF(OR($A9="",COLUMNS($D9:Y9)&gt;Beheer!$C$4),"",N(INDEX(Dashboard!$C$2:$AF$61,MATCH(LARGE(Dashboard!$AI$2:$AI$61,$A9),Dashboard!$AI$2:$AI$61,0),COLUMNS($D9:Y9)))&amp;"/"&amp;INDEX(Beheer!$B$7:$B$36,COLUMNS($D9:Y9)))</f>
        <v/>
      </c>
      <c r="Z9" s="97" t="str" cm="1">
        <f t="array" ref="Z9">IF(OR($A9="",COLUMNS($D9:Z9)&gt;Beheer!$C$4),"",N(INDEX(Dashboard!$C$2:$AF$61,MATCH(LARGE(Dashboard!$AI$2:$AI$61,$A9),Dashboard!$AI$2:$AI$61,0),COLUMNS($D9:Z9)))&amp;"/"&amp;INDEX(Beheer!$B$7:$B$36,COLUMNS($D9:Z9)))</f>
        <v/>
      </c>
      <c r="AA9" s="97" t="str" cm="1">
        <f t="array" ref="AA9">IF(OR($A9="",COLUMNS($D9:AA9)&gt;Beheer!$C$4),"",N(INDEX(Dashboard!$C$2:$AF$61,MATCH(LARGE(Dashboard!$AI$2:$AI$61,$A9),Dashboard!$AI$2:$AI$61,0),COLUMNS($D9:AA9)))&amp;"/"&amp;INDEX(Beheer!$B$7:$B$36,COLUMNS($D9:AA9)))</f>
        <v/>
      </c>
      <c r="AB9" s="97" t="str" cm="1">
        <f t="array" ref="AB9">IF(OR($A9="",COLUMNS($D9:AB9)&gt;Beheer!$C$4),"",N(INDEX(Dashboard!$C$2:$AF$61,MATCH(LARGE(Dashboard!$AI$2:$AI$61,$A9),Dashboard!$AI$2:$AI$61,0),COLUMNS($D9:AB9)))&amp;"/"&amp;INDEX(Beheer!$B$7:$B$36,COLUMNS($D9:AB9)))</f>
        <v/>
      </c>
      <c r="AC9" s="97" t="str" cm="1">
        <f t="array" ref="AC9">IF(OR($A9="",COLUMNS($D9:AC9)&gt;Beheer!$C$4),"",N(INDEX(Dashboard!$C$2:$AF$61,MATCH(LARGE(Dashboard!$AI$2:$AI$61,$A9),Dashboard!$AI$2:$AI$61,0),COLUMNS($D9:AC9)))&amp;"/"&amp;INDEX(Beheer!$B$7:$B$36,COLUMNS($D9:AC9)))</f>
        <v/>
      </c>
      <c r="AD9" s="97" t="str" cm="1">
        <f t="array" ref="AD9">IF(OR($A9="",COLUMNS($D9:AD9)&gt;Beheer!$C$4),"",N(INDEX(Dashboard!$C$2:$AF$61,MATCH(LARGE(Dashboard!$AI$2:$AI$61,$A9),Dashboard!$AI$2:$AI$61,0),COLUMNS($D9:AD9)))&amp;"/"&amp;INDEX(Beheer!$B$7:$B$36,COLUMNS($D9:AD9)))</f>
        <v/>
      </c>
      <c r="AE9" s="97" t="str" cm="1">
        <f t="array" ref="AE9">IF(OR($A9="",COLUMNS($D9:AE9)&gt;Beheer!$C$4),"",N(INDEX(Dashboard!$C$2:$AF$61,MATCH(LARGE(Dashboard!$AI$2:$AI$61,$A9),Dashboard!$AI$2:$AI$61,0),COLUMNS($D9:AE9)))&amp;"/"&amp;INDEX(Beheer!$B$7:$B$36,COLUMNS($D9:AE9)))</f>
        <v/>
      </c>
      <c r="AF9" s="97" t="str" cm="1">
        <f t="array" ref="AF9">IF(OR($A9="",COLUMNS($D9:AF9)&gt;Beheer!$C$4),"",N(INDEX(Dashboard!$C$2:$AF$61,MATCH(LARGE(Dashboard!$AI$2:$AI$61,$A9),Dashboard!$AI$2:$AI$61,0),COLUMNS($D9:AF9)))&amp;"/"&amp;INDEX(Beheer!$B$7:$B$36,COLUMNS($D9:AF9)))</f>
        <v/>
      </c>
      <c r="AG9" s="97" t="str" cm="1">
        <f t="array" ref="AG9">IF(OR($A9="",COLUMNS($D9:AG9)&gt;Beheer!$C$4),"",N(INDEX(Dashboard!$C$2:$AF$61,MATCH(LARGE(Dashboard!$AI$2:$AI$61,$A9),Dashboard!$AI$2:$AI$61,0),COLUMNS($D9:AG9)))&amp;"/"&amp;INDEX(Beheer!$B$7:$B$36,COLUMNS($D9:AG9)))</f>
        <v/>
      </c>
    </row>
    <row r="10" spans="1:33" ht="24" customHeight="1" thickBot="1" x14ac:dyDescent="0.5">
      <c r="A10" s="99">
        <f>IF(ROWS($A$2:A10)&gt;COUNTA(Beheer!$F$7:$F$66),"",ROWS($A$2:A10))</f>
        <v>9</v>
      </c>
      <c r="B10" s="102" t="str">
        <f>IF($A10="","",INDEX(Dashboard!$A$2:$A$61,MATCH(LARGE(Dashboard!$AI$2:$AI$61,$A10),Dashboard!$AI$2:$AI$61,0)))</f>
        <v>De Zatte Garnaal</v>
      </c>
      <c r="C10" s="94" t="str">
        <f>IF($A10="","",INDEX(Dashboard!$AG$2:$AG$61,MATCH(LARGE(Dashboard!$AI$2:$AI$61,$A10),Dashboard!$AI$2:$AI$61,0))&amp;" / "&amp;INDEX(Dashboard!$AH$2:$AH$61,MATCH(LARGE(Dashboard!$AI$2:$AI$61,$A10),Dashboard!$AI$2:$AI$61,0)))</f>
        <v>79 / 130</v>
      </c>
      <c r="D10" s="95" t="str" cm="1">
        <f t="array" ref="D10">IF(OR($A10="",COLUMNS($D10:D10)&gt;Beheer!$C$4),"",N(INDEX(Dashboard!$C$2:$AF$61,MATCH(LARGE(Dashboard!$AI$2:$AI$61,$A10),Dashboard!$AI$2:$AI$61,0),COLUMNS($D10:D10)))&amp;"/"&amp;INDEX(Beheer!$B$7:$B$36,COLUMNS($D10:D10)))</f>
        <v>7/10</v>
      </c>
      <c r="E10" s="95" t="str" cm="1">
        <f t="array" ref="E10">IF(OR($A10="",COLUMNS($D10:E10)&gt;Beheer!$C$4),"",N(INDEX(Dashboard!$C$2:$AF$61,MATCH(LARGE(Dashboard!$AI$2:$AI$61,$A10),Dashboard!$AI$2:$AI$61,0),COLUMNS($D10:E10)))&amp;"/"&amp;INDEX(Beheer!$B$7:$B$36,COLUMNS($D10:E10)))</f>
        <v>7/10</v>
      </c>
      <c r="F10" s="95" t="str" cm="1">
        <f t="array" ref="F10">IF(OR($A10="",COLUMNS($D10:F10)&gt;Beheer!$C$4),"",N(INDEX(Dashboard!$C$2:$AF$61,MATCH(LARGE(Dashboard!$AI$2:$AI$61,$A10),Dashboard!$AI$2:$AI$61,0),COLUMNS($D10:F10)))&amp;"/"&amp;INDEX(Beheer!$B$7:$B$36,COLUMNS($D10:F10)))</f>
        <v>4/10</v>
      </c>
      <c r="G10" s="95" t="str" cm="1">
        <f t="array" ref="G10">IF(OR($A10="",COLUMNS($D10:G10)&gt;Beheer!$C$4),"",N(INDEX(Dashboard!$C$2:$AF$61,MATCH(LARGE(Dashboard!$AI$2:$AI$61,$A10),Dashboard!$AI$2:$AI$61,0),COLUMNS($D10:G10)))&amp;"/"&amp;INDEX(Beheer!$B$7:$B$36,COLUMNS($D10:G10)))</f>
        <v>12/20</v>
      </c>
      <c r="H10" s="95" t="str" cm="1">
        <f t="array" ref="H10">IF(OR($A10="",COLUMNS($D10:H10)&gt;Beheer!$C$4),"",N(INDEX(Dashboard!$C$2:$AF$61,MATCH(LARGE(Dashboard!$AI$2:$AI$61,$A10),Dashboard!$AI$2:$AI$61,0),COLUMNS($D10:H10)))&amp;"/"&amp;INDEX(Beheer!$B$7:$B$36,COLUMNS($D10:H10)))</f>
        <v>9/10</v>
      </c>
      <c r="I10" s="95" t="str" cm="1">
        <f t="array" ref="I10">IF(OR($A10="",COLUMNS($D10:I10)&gt;Beheer!$C$4),"",N(INDEX(Dashboard!$C$2:$AF$61,MATCH(LARGE(Dashboard!$AI$2:$AI$61,$A10),Dashboard!$AI$2:$AI$61,0),COLUMNS($D10:I10)))&amp;"/"&amp;INDEX(Beheer!$B$7:$B$36,COLUMNS($D10:I10)))</f>
        <v>3/10</v>
      </c>
      <c r="J10" s="95" t="str" cm="1">
        <f t="array" ref="J10">IF(OR($A10="",COLUMNS($D10:J10)&gt;Beheer!$C$4),"",N(INDEX(Dashboard!$C$2:$AF$61,MATCH(LARGE(Dashboard!$AI$2:$AI$61,$A10),Dashboard!$AI$2:$AI$61,0),COLUMNS($D10:J10)))&amp;"/"&amp;INDEX(Beheer!$B$7:$B$36,COLUMNS($D10:J10)))</f>
        <v>7/10</v>
      </c>
      <c r="K10" s="95" t="str" cm="1">
        <f t="array" ref="K10">IF(OR($A10="",COLUMNS($D10:K10)&gt;Beheer!$C$4),"",N(INDEX(Dashboard!$C$2:$AF$61,MATCH(LARGE(Dashboard!$AI$2:$AI$61,$A10),Dashboard!$AI$2:$AI$61,0),COLUMNS($D10:K10)))&amp;"/"&amp;INDEX(Beheer!$B$7:$B$36,COLUMNS($D10:K10)))</f>
        <v>10/15</v>
      </c>
      <c r="L10" s="95" t="str" cm="1">
        <f t="array" ref="L10">IF(OR($A10="",COLUMNS($D10:L10)&gt;Beheer!$C$4),"",N(INDEX(Dashboard!$C$2:$AF$61,MATCH(LARGE(Dashboard!$AI$2:$AI$61,$A10),Dashboard!$AI$2:$AI$61,0),COLUMNS($D10:L10)))&amp;"/"&amp;INDEX(Beheer!$B$7:$B$36,COLUMNS($D10:L10)))</f>
        <v>8/10</v>
      </c>
      <c r="M10" s="95" t="str" cm="1">
        <f t="array" ref="M10">IF(OR($A10="",COLUMNS($D10:M10)&gt;Beheer!$C$4),"",N(INDEX(Dashboard!$C$2:$AF$61,MATCH(LARGE(Dashboard!$AI$2:$AI$61,$A10),Dashboard!$AI$2:$AI$61,0),COLUMNS($D10:M10)))&amp;"/"&amp;INDEX(Beheer!$B$7:$B$36,COLUMNS($D10:M10)))</f>
        <v>3/10</v>
      </c>
      <c r="N10" s="95" t="str" cm="1">
        <f t="array" ref="N10">IF(OR($A10="",COLUMNS($D10:N10)&gt;Beheer!$C$4),"",N(INDEX(Dashboard!$C$2:$AF$61,MATCH(LARGE(Dashboard!$AI$2:$AI$61,$A10),Dashboard!$AI$2:$AI$61,0),COLUMNS($D10:N10)))&amp;"/"&amp;INDEX(Beheer!$B$7:$B$36,COLUMNS($D10:N10)))</f>
        <v>4/5</v>
      </c>
      <c r="O10" s="95" t="str" cm="1">
        <f t="array" ref="O10">IF(OR($A10="",COLUMNS($D10:O10)&gt;Beheer!$C$4),"",N(INDEX(Dashboard!$C$2:$AF$61,MATCH(LARGE(Dashboard!$AI$2:$AI$61,$A10),Dashboard!$AI$2:$AI$61,0),COLUMNS($D10:O10)))&amp;"/"&amp;INDEX(Beheer!$B$7:$B$36,COLUMNS($D10:O10)))</f>
        <v>5/10</v>
      </c>
      <c r="P10" s="95" t="str" cm="1">
        <f t="array" ref="P10">IF(OR($A10="",COLUMNS($D10:P10)&gt;Beheer!$C$4),"",N(INDEX(Dashboard!$C$2:$AF$61,MATCH(LARGE(Dashboard!$AI$2:$AI$61,$A10),Dashboard!$AI$2:$AI$61,0),COLUMNS($D10:P10)))&amp;"/"&amp;INDEX(Beheer!$B$7:$B$36,COLUMNS($D10:P10)))</f>
        <v/>
      </c>
      <c r="Q10" s="95" t="str" cm="1">
        <f t="array" ref="Q10">IF(OR($A10="",COLUMNS($D10:Q10)&gt;Beheer!$C$4),"",N(INDEX(Dashboard!$C$2:$AF$61,MATCH(LARGE(Dashboard!$AI$2:$AI$61,$A10),Dashboard!$AI$2:$AI$61,0),COLUMNS($D10:Q10)))&amp;"/"&amp;INDEX(Beheer!$B$7:$B$36,COLUMNS($D10:Q10)))</f>
        <v/>
      </c>
      <c r="R10" s="95" t="str" cm="1">
        <f t="array" ref="R10">IF(OR($A10="",COLUMNS($D10:R10)&gt;Beheer!$C$4),"",N(INDEX(Dashboard!$C$2:$AF$61,MATCH(LARGE(Dashboard!$AI$2:$AI$61,$A10),Dashboard!$AI$2:$AI$61,0),COLUMNS($D10:R10)))&amp;"/"&amp;INDEX(Beheer!$B$7:$B$36,COLUMNS($D10:R10)))</f>
        <v/>
      </c>
      <c r="S10" s="95" t="str" cm="1">
        <f t="array" ref="S10">IF(OR($A10="",COLUMNS($D10:S10)&gt;Beheer!$C$4),"",N(INDEX(Dashboard!$C$2:$AF$61,MATCH(LARGE(Dashboard!$AI$2:$AI$61,$A10),Dashboard!$AI$2:$AI$61,0),COLUMNS($D10:S10)))&amp;"/"&amp;INDEX(Beheer!$B$7:$B$36,COLUMNS($D10:S10)))</f>
        <v/>
      </c>
      <c r="T10" s="95" t="str" cm="1">
        <f t="array" ref="T10">IF(OR($A10="",COLUMNS($D10:T10)&gt;Beheer!$C$4),"",N(INDEX(Dashboard!$C$2:$AF$61,MATCH(LARGE(Dashboard!$AI$2:$AI$61,$A10),Dashboard!$AI$2:$AI$61,0),COLUMNS($D10:T10)))&amp;"/"&amp;INDEX(Beheer!$B$7:$B$36,COLUMNS($D10:T10)))</f>
        <v/>
      </c>
      <c r="U10" s="95" t="str" cm="1">
        <f t="array" ref="U10">IF(OR($A10="",COLUMNS($D10:U10)&gt;Beheer!$C$4),"",N(INDEX(Dashboard!$C$2:$AF$61,MATCH(LARGE(Dashboard!$AI$2:$AI$61,$A10),Dashboard!$AI$2:$AI$61,0),COLUMNS($D10:U10)))&amp;"/"&amp;INDEX(Beheer!$B$7:$B$36,COLUMNS($D10:U10)))</f>
        <v/>
      </c>
      <c r="V10" s="95" t="str" cm="1">
        <f t="array" ref="V10">IF(OR($A10="",COLUMNS($D10:V10)&gt;Beheer!$C$4),"",N(INDEX(Dashboard!$C$2:$AF$61,MATCH(LARGE(Dashboard!$AI$2:$AI$61,$A10),Dashboard!$AI$2:$AI$61,0),COLUMNS($D10:V10)))&amp;"/"&amp;INDEX(Beheer!$B$7:$B$36,COLUMNS($D10:V10)))</f>
        <v/>
      </c>
      <c r="W10" s="95" t="str" cm="1">
        <f t="array" ref="W10">IF(OR($A10="",COLUMNS($D10:W10)&gt;Beheer!$C$4),"",N(INDEX(Dashboard!$C$2:$AF$61,MATCH(LARGE(Dashboard!$AI$2:$AI$61,$A10),Dashboard!$AI$2:$AI$61,0),COLUMNS($D10:W10)))&amp;"/"&amp;INDEX(Beheer!$B$7:$B$36,COLUMNS($D10:W10)))</f>
        <v/>
      </c>
      <c r="X10" s="95" t="str" cm="1">
        <f t="array" ref="X10">IF(OR($A10="",COLUMNS($D10:X10)&gt;Beheer!$C$4),"",N(INDEX(Dashboard!$C$2:$AF$61,MATCH(LARGE(Dashboard!$AI$2:$AI$61,$A10),Dashboard!$AI$2:$AI$61,0),COLUMNS($D10:X10)))&amp;"/"&amp;INDEX(Beheer!$B$7:$B$36,COLUMNS($D10:X10)))</f>
        <v/>
      </c>
      <c r="Y10" s="95" t="str" cm="1">
        <f t="array" ref="Y10">IF(OR($A10="",COLUMNS($D10:Y10)&gt;Beheer!$C$4),"",N(INDEX(Dashboard!$C$2:$AF$61,MATCH(LARGE(Dashboard!$AI$2:$AI$61,$A10),Dashboard!$AI$2:$AI$61,0),COLUMNS($D10:Y10)))&amp;"/"&amp;INDEX(Beheer!$B$7:$B$36,COLUMNS($D10:Y10)))</f>
        <v/>
      </c>
      <c r="Z10" s="95" t="str" cm="1">
        <f t="array" ref="Z10">IF(OR($A10="",COLUMNS($D10:Z10)&gt;Beheer!$C$4),"",N(INDEX(Dashboard!$C$2:$AF$61,MATCH(LARGE(Dashboard!$AI$2:$AI$61,$A10),Dashboard!$AI$2:$AI$61,0),COLUMNS($D10:Z10)))&amp;"/"&amp;INDEX(Beheer!$B$7:$B$36,COLUMNS($D10:Z10)))</f>
        <v/>
      </c>
      <c r="AA10" s="95" t="str" cm="1">
        <f t="array" ref="AA10">IF(OR($A10="",COLUMNS($D10:AA10)&gt;Beheer!$C$4),"",N(INDEX(Dashboard!$C$2:$AF$61,MATCH(LARGE(Dashboard!$AI$2:$AI$61,$A10),Dashboard!$AI$2:$AI$61,0),COLUMNS($D10:AA10)))&amp;"/"&amp;INDEX(Beheer!$B$7:$B$36,COLUMNS($D10:AA10)))</f>
        <v/>
      </c>
      <c r="AB10" s="95" t="str" cm="1">
        <f t="array" ref="AB10">IF(OR($A10="",COLUMNS($D10:AB10)&gt;Beheer!$C$4),"",N(INDEX(Dashboard!$C$2:$AF$61,MATCH(LARGE(Dashboard!$AI$2:$AI$61,$A10),Dashboard!$AI$2:$AI$61,0),COLUMNS($D10:AB10)))&amp;"/"&amp;INDEX(Beheer!$B$7:$B$36,COLUMNS($D10:AB10)))</f>
        <v/>
      </c>
      <c r="AC10" s="95" t="str" cm="1">
        <f t="array" ref="AC10">IF(OR($A10="",COLUMNS($D10:AC10)&gt;Beheer!$C$4),"",N(INDEX(Dashboard!$C$2:$AF$61,MATCH(LARGE(Dashboard!$AI$2:$AI$61,$A10),Dashboard!$AI$2:$AI$61,0),COLUMNS($D10:AC10)))&amp;"/"&amp;INDEX(Beheer!$B$7:$B$36,COLUMNS($D10:AC10)))</f>
        <v/>
      </c>
      <c r="AD10" s="95" t="str" cm="1">
        <f t="array" ref="AD10">IF(OR($A10="",COLUMNS($D10:AD10)&gt;Beheer!$C$4),"",N(INDEX(Dashboard!$C$2:$AF$61,MATCH(LARGE(Dashboard!$AI$2:$AI$61,$A10),Dashboard!$AI$2:$AI$61,0),COLUMNS($D10:AD10)))&amp;"/"&amp;INDEX(Beheer!$B$7:$B$36,COLUMNS($D10:AD10)))</f>
        <v/>
      </c>
      <c r="AE10" s="95" t="str" cm="1">
        <f t="array" ref="AE10">IF(OR($A10="",COLUMNS($D10:AE10)&gt;Beheer!$C$4),"",N(INDEX(Dashboard!$C$2:$AF$61,MATCH(LARGE(Dashboard!$AI$2:$AI$61,$A10),Dashboard!$AI$2:$AI$61,0),COLUMNS($D10:AE10)))&amp;"/"&amp;INDEX(Beheer!$B$7:$B$36,COLUMNS($D10:AE10)))</f>
        <v/>
      </c>
      <c r="AF10" s="95" t="str" cm="1">
        <f t="array" ref="AF10">IF(OR($A10="",COLUMNS($D10:AF10)&gt;Beheer!$C$4),"",N(INDEX(Dashboard!$C$2:$AF$61,MATCH(LARGE(Dashboard!$AI$2:$AI$61,$A10),Dashboard!$AI$2:$AI$61,0),COLUMNS($D10:AF10)))&amp;"/"&amp;INDEX(Beheer!$B$7:$B$36,COLUMNS($D10:AF10)))</f>
        <v/>
      </c>
      <c r="AG10" s="95" t="str" cm="1">
        <f t="array" ref="AG10">IF(OR($A10="",COLUMNS($D10:AG10)&gt;Beheer!$C$4),"",N(INDEX(Dashboard!$C$2:$AF$61,MATCH(LARGE(Dashboard!$AI$2:$AI$61,$A10),Dashboard!$AI$2:$AI$61,0),COLUMNS($D10:AG10)))&amp;"/"&amp;INDEX(Beheer!$B$7:$B$36,COLUMNS($D10:AG10)))</f>
        <v/>
      </c>
    </row>
    <row r="11" spans="1:33" ht="24" customHeight="1" thickBot="1" x14ac:dyDescent="0.5">
      <c r="A11" s="98">
        <f>IF(ROWS($A$2:A11)&gt;COUNTA(Beheer!$F$7:$F$66),"",ROWS($A$2:A11))</f>
        <v>10</v>
      </c>
      <c r="B11" s="101" t="str">
        <f>IF($A11="","",INDEX(Dashboard!$A$2:$A$61,MATCH(LARGE(Dashboard!$AI$2:$AI$61,$A11),Dashboard!$AI$2:$AI$61,0)))</f>
        <v>Amai Zeg!</v>
      </c>
      <c r="C11" s="96" t="str">
        <f>IF($A11="","",INDEX(Dashboard!$AG$2:$AG$61,MATCH(LARGE(Dashboard!$AI$2:$AI$61,$A11),Dashboard!$AI$2:$AI$61,0))&amp;" / "&amp;INDEX(Dashboard!$AH$2:$AH$61,MATCH(LARGE(Dashboard!$AI$2:$AI$61,$A11),Dashboard!$AI$2:$AI$61,0)))</f>
        <v>76 / 130</v>
      </c>
      <c r="D11" s="97" t="str" cm="1">
        <f t="array" ref="D11">IF(OR($A11="",COLUMNS($D11:D11)&gt;Beheer!$C$4),"",N(INDEX(Dashboard!$C$2:$AF$61,MATCH(LARGE(Dashboard!$AI$2:$AI$61,$A11),Dashboard!$AI$2:$AI$61,0),COLUMNS($D11:D11)))&amp;"/"&amp;INDEX(Beheer!$B$7:$B$36,COLUMNS($D11:D11)))</f>
        <v>10/10</v>
      </c>
      <c r="E11" s="97" t="str" cm="1">
        <f t="array" ref="E11">IF(OR($A11="",COLUMNS($D11:E11)&gt;Beheer!$C$4),"",N(INDEX(Dashboard!$C$2:$AF$61,MATCH(LARGE(Dashboard!$AI$2:$AI$61,$A11),Dashboard!$AI$2:$AI$61,0),COLUMNS($D11:E11)))&amp;"/"&amp;INDEX(Beheer!$B$7:$B$36,COLUMNS($D11:E11)))</f>
        <v>8/10</v>
      </c>
      <c r="F11" s="97" t="str" cm="1">
        <f t="array" ref="F11">IF(OR($A11="",COLUMNS($D11:F11)&gt;Beheer!$C$4),"",N(INDEX(Dashboard!$C$2:$AF$61,MATCH(LARGE(Dashboard!$AI$2:$AI$61,$A11),Dashboard!$AI$2:$AI$61,0),COLUMNS($D11:F11)))&amp;"/"&amp;INDEX(Beheer!$B$7:$B$36,COLUMNS($D11:F11)))</f>
        <v>8/10</v>
      </c>
      <c r="G11" s="97" t="str" cm="1">
        <f t="array" ref="G11">IF(OR($A11="",COLUMNS($D11:G11)&gt;Beheer!$C$4),"",N(INDEX(Dashboard!$C$2:$AF$61,MATCH(LARGE(Dashboard!$AI$2:$AI$61,$A11),Dashboard!$AI$2:$AI$61,0),COLUMNS($D11:G11)))&amp;"/"&amp;INDEX(Beheer!$B$7:$B$36,COLUMNS($D11:G11)))</f>
        <v>13/20</v>
      </c>
      <c r="H11" s="97" t="str" cm="1">
        <f t="array" ref="H11">IF(OR($A11="",COLUMNS($D11:H11)&gt;Beheer!$C$4),"",N(INDEX(Dashboard!$C$2:$AF$61,MATCH(LARGE(Dashboard!$AI$2:$AI$61,$A11),Dashboard!$AI$2:$AI$61,0),COLUMNS($D11:H11)))&amp;"/"&amp;INDEX(Beheer!$B$7:$B$36,COLUMNS($D11:H11)))</f>
        <v>3/10</v>
      </c>
      <c r="I11" s="97" t="str" cm="1">
        <f t="array" ref="I11">IF(OR($A11="",COLUMNS($D11:I11)&gt;Beheer!$C$4),"",N(INDEX(Dashboard!$C$2:$AF$61,MATCH(LARGE(Dashboard!$AI$2:$AI$61,$A11),Dashboard!$AI$2:$AI$61,0),COLUMNS($D11:I11)))&amp;"/"&amp;INDEX(Beheer!$B$7:$B$36,COLUMNS($D11:I11)))</f>
        <v>3/10</v>
      </c>
      <c r="J11" s="97" t="str" cm="1">
        <f t="array" ref="J11">IF(OR($A11="",COLUMNS($D11:J11)&gt;Beheer!$C$4),"",N(INDEX(Dashboard!$C$2:$AF$61,MATCH(LARGE(Dashboard!$AI$2:$AI$61,$A11),Dashboard!$AI$2:$AI$61,0),COLUMNS($D11:J11)))&amp;"/"&amp;INDEX(Beheer!$B$7:$B$36,COLUMNS($D11:J11)))</f>
        <v>2/10</v>
      </c>
      <c r="K11" s="97" t="str" cm="1">
        <f t="array" ref="K11">IF(OR($A11="",COLUMNS($D11:K11)&gt;Beheer!$C$4),"",N(INDEX(Dashboard!$C$2:$AF$61,MATCH(LARGE(Dashboard!$AI$2:$AI$61,$A11),Dashboard!$AI$2:$AI$61,0),COLUMNS($D11:K11)))&amp;"/"&amp;INDEX(Beheer!$B$7:$B$36,COLUMNS($D11:K11)))</f>
        <v>7/15</v>
      </c>
      <c r="L11" s="97" t="str" cm="1">
        <f t="array" ref="L11">IF(OR($A11="",COLUMNS($D11:L11)&gt;Beheer!$C$4),"",N(INDEX(Dashboard!$C$2:$AF$61,MATCH(LARGE(Dashboard!$AI$2:$AI$61,$A11),Dashboard!$AI$2:$AI$61,0),COLUMNS($D11:L11)))&amp;"/"&amp;INDEX(Beheer!$B$7:$B$36,COLUMNS($D11:L11)))</f>
        <v>4/10</v>
      </c>
      <c r="M11" s="97" t="str" cm="1">
        <f t="array" ref="M11">IF(OR($A11="",COLUMNS($D11:M11)&gt;Beheer!$C$4),"",N(INDEX(Dashboard!$C$2:$AF$61,MATCH(LARGE(Dashboard!$AI$2:$AI$61,$A11),Dashboard!$AI$2:$AI$61,0),COLUMNS($D11:M11)))&amp;"/"&amp;INDEX(Beheer!$B$7:$B$36,COLUMNS($D11:M11)))</f>
        <v>3/10</v>
      </c>
      <c r="N11" s="97" t="str" cm="1">
        <f t="array" ref="N11">IF(OR($A11="",COLUMNS($D11:N11)&gt;Beheer!$C$4),"",N(INDEX(Dashboard!$C$2:$AF$61,MATCH(LARGE(Dashboard!$AI$2:$AI$61,$A11),Dashboard!$AI$2:$AI$61,0),COLUMNS($D11:N11)))&amp;"/"&amp;INDEX(Beheer!$B$7:$B$36,COLUMNS($D11:N11)))</f>
        <v>5/5</v>
      </c>
      <c r="O11" s="97" t="str" cm="1">
        <f t="array" ref="O11">IF(OR($A11="",COLUMNS($D11:O11)&gt;Beheer!$C$4),"",N(INDEX(Dashboard!$C$2:$AF$61,MATCH(LARGE(Dashboard!$AI$2:$AI$61,$A11),Dashboard!$AI$2:$AI$61,0),COLUMNS($D11:O11)))&amp;"/"&amp;INDEX(Beheer!$B$7:$B$36,COLUMNS($D11:O11)))</f>
        <v>10/10</v>
      </c>
      <c r="P11" s="97" t="str" cm="1">
        <f t="array" ref="P11">IF(OR($A11="",COLUMNS($D11:P11)&gt;Beheer!$C$4),"",N(INDEX(Dashboard!$C$2:$AF$61,MATCH(LARGE(Dashboard!$AI$2:$AI$61,$A11),Dashboard!$AI$2:$AI$61,0),COLUMNS($D11:P11)))&amp;"/"&amp;INDEX(Beheer!$B$7:$B$36,COLUMNS($D11:P11)))</f>
        <v/>
      </c>
      <c r="Q11" s="97" t="str" cm="1">
        <f t="array" ref="Q11">IF(OR($A11="",COLUMNS($D11:Q11)&gt;Beheer!$C$4),"",N(INDEX(Dashboard!$C$2:$AF$61,MATCH(LARGE(Dashboard!$AI$2:$AI$61,$A11),Dashboard!$AI$2:$AI$61,0),COLUMNS($D11:Q11)))&amp;"/"&amp;INDEX(Beheer!$B$7:$B$36,COLUMNS($D11:Q11)))</f>
        <v/>
      </c>
      <c r="R11" s="97" t="str" cm="1">
        <f t="array" ref="R11">IF(OR($A11="",COLUMNS($D11:R11)&gt;Beheer!$C$4),"",N(INDEX(Dashboard!$C$2:$AF$61,MATCH(LARGE(Dashboard!$AI$2:$AI$61,$A11),Dashboard!$AI$2:$AI$61,0),COLUMNS($D11:R11)))&amp;"/"&amp;INDEX(Beheer!$B$7:$B$36,COLUMNS($D11:R11)))</f>
        <v/>
      </c>
      <c r="S11" s="97" t="str" cm="1">
        <f t="array" ref="S11">IF(OR($A11="",COLUMNS($D11:S11)&gt;Beheer!$C$4),"",N(INDEX(Dashboard!$C$2:$AF$61,MATCH(LARGE(Dashboard!$AI$2:$AI$61,$A11),Dashboard!$AI$2:$AI$61,0),COLUMNS($D11:S11)))&amp;"/"&amp;INDEX(Beheer!$B$7:$B$36,COLUMNS($D11:S11)))</f>
        <v/>
      </c>
      <c r="T11" s="97" t="str" cm="1">
        <f t="array" ref="T11">IF(OR($A11="",COLUMNS($D11:T11)&gt;Beheer!$C$4),"",N(INDEX(Dashboard!$C$2:$AF$61,MATCH(LARGE(Dashboard!$AI$2:$AI$61,$A11),Dashboard!$AI$2:$AI$61,0),COLUMNS($D11:T11)))&amp;"/"&amp;INDEX(Beheer!$B$7:$B$36,COLUMNS($D11:T11)))</f>
        <v/>
      </c>
      <c r="U11" s="97" t="str" cm="1">
        <f t="array" ref="U11">IF(OR($A11="",COLUMNS($D11:U11)&gt;Beheer!$C$4),"",N(INDEX(Dashboard!$C$2:$AF$61,MATCH(LARGE(Dashboard!$AI$2:$AI$61,$A11),Dashboard!$AI$2:$AI$61,0),COLUMNS($D11:U11)))&amp;"/"&amp;INDEX(Beheer!$B$7:$B$36,COLUMNS($D11:U11)))</f>
        <v/>
      </c>
      <c r="V11" s="97" t="str" cm="1">
        <f t="array" ref="V11">IF(OR($A11="",COLUMNS($D11:V11)&gt;Beheer!$C$4),"",N(INDEX(Dashboard!$C$2:$AF$61,MATCH(LARGE(Dashboard!$AI$2:$AI$61,$A11),Dashboard!$AI$2:$AI$61,0),COLUMNS($D11:V11)))&amp;"/"&amp;INDEX(Beheer!$B$7:$B$36,COLUMNS($D11:V11)))</f>
        <v/>
      </c>
      <c r="W11" s="97" t="str" cm="1">
        <f t="array" ref="W11">IF(OR($A11="",COLUMNS($D11:W11)&gt;Beheer!$C$4),"",N(INDEX(Dashboard!$C$2:$AF$61,MATCH(LARGE(Dashboard!$AI$2:$AI$61,$A11),Dashboard!$AI$2:$AI$61,0),COLUMNS($D11:W11)))&amp;"/"&amp;INDEX(Beheer!$B$7:$B$36,COLUMNS($D11:W11)))</f>
        <v/>
      </c>
      <c r="X11" s="97" t="str" cm="1">
        <f t="array" ref="X11">IF(OR($A11="",COLUMNS($D11:X11)&gt;Beheer!$C$4),"",N(INDEX(Dashboard!$C$2:$AF$61,MATCH(LARGE(Dashboard!$AI$2:$AI$61,$A11),Dashboard!$AI$2:$AI$61,0),COLUMNS($D11:X11)))&amp;"/"&amp;INDEX(Beheer!$B$7:$B$36,COLUMNS($D11:X11)))</f>
        <v/>
      </c>
      <c r="Y11" s="97" t="str" cm="1">
        <f t="array" ref="Y11">IF(OR($A11="",COLUMNS($D11:Y11)&gt;Beheer!$C$4),"",N(INDEX(Dashboard!$C$2:$AF$61,MATCH(LARGE(Dashboard!$AI$2:$AI$61,$A11),Dashboard!$AI$2:$AI$61,0),COLUMNS($D11:Y11)))&amp;"/"&amp;INDEX(Beheer!$B$7:$B$36,COLUMNS($D11:Y11)))</f>
        <v/>
      </c>
      <c r="Z11" s="97" t="str" cm="1">
        <f t="array" ref="Z11">IF(OR($A11="",COLUMNS($D11:Z11)&gt;Beheer!$C$4),"",N(INDEX(Dashboard!$C$2:$AF$61,MATCH(LARGE(Dashboard!$AI$2:$AI$61,$A11),Dashboard!$AI$2:$AI$61,0),COLUMNS($D11:Z11)))&amp;"/"&amp;INDEX(Beheer!$B$7:$B$36,COLUMNS($D11:Z11)))</f>
        <v/>
      </c>
      <c r="AA11" s="97" t="str" cm="1">
        <f t="array" ref="AA11">IF(OR($A11="",COLUMNS($D11:AA11)&gt;Beheer!$C$4),"",N(INDEX(Dashboard!$C$2:$AF$61,MATCH(LARGE(Dashboard!$AI$2:$AI$61,$A11),Dashboard!$AI$2:$AI$61,0),COLUMNS($D11:AA11)))&amp;"/"&amp;INDEX(Beheer!$B$7:$B$36,COLUMNS($D11:AA11)))</f>
        <v/>
      </c>
      <c r="AB11" s="97" t="str" cm="1">
        <f t="array" ref="AB11">IF(OR($A11="",COLUMNS($D11:AB11)&gt;Beheer!$C$4),"",N(INDEX(Dashboard!$C$2:$AF$61,MATCH(LARGE(Dashboard!$AI$2:$AI$61,$A11),Dashboard!$AI$2:$AI$61,0),COLUMNS($D11:AB11)))&amp;"/"&amp;INDEX(Beheer!$B$7:$B$36,COLUMNS($D11:AB11)))</f>
        <v/>
      </c>
      <c r="AC11" s="97" t="str" cm="1">
        <f t="array" ref="AC11">IF(OR($A11="",COLUMNS($D11:AC11)&gt;Beheer!$C$4),"",N(INDEX(Dashboard!$C$2:$AF$61,MATCH(LARGE(Dashboard!$AI$2:$AI$61,$A11),Dashboard!$AI$2:$AI$61,0),COLUMNS($D11:AC11)))&amp;"/"&amp;INDEX(Beheer!$B$7:$B$36,COLUMNS($D11:AC11)))</f>
        <v/>
      </c>
      <c r="AD11" s="97" t="str" cm="1">
        <f t="array" ref="AD11">IF(OR($A11="",COLUMNS($D11:AD11)&gt;Beheer!$C$4),"",N(INDEX(Dashboard!$C$2:$AF$61,MATCH(LARGE(Dashboard!$AI$2:$AI$61,$A11),Dashboard!$AI$2:$AI$61,0),COLUMNS($D11:AD11)))&amp;"/"&amp;INDEX(Beheer!$B$7:$B$36,COLUMNS($D11:AD11)))</f>
        <v/>
      </c>
      <c r="AE11" s="97" t="str" cm="1">
        <f t="array" ref="AE11">IF(OR($A11="",COLUMNS($D11:AE11)&gt;Beheer!$C$4),"",N(INDEX(Dashboard!$C$2:$AF$61,MATCH(LARGE(Dashboard!$AI$2:$AI$61,$A11),Dashboard!$AI$2:$AI$61,0),COLUMNS($D11:AE11)))&amp;"/"&amp;INDEX(Beheer!$B$7:$B$36,COLUMNS($D11:AE11)))</f>
        <v/>
      </c>
      <c r="AF11" s="97" t="str" cm="1">
        <f t="array" ref="AF11">IF(OR($A11="",COLUMNS($D11:AF11)&gt;Beheer!$C$4),"",N(INDEX(Dashboard!$C$2:$AF$61,MATCH(LARGE(Dashboard!$AI$2:$AI$61,$A11),Dashboard!$AI$2:$AI$61,0),COLUMNS($D11:AF11)))&amp;"/"&amp;INDEX(Beheer!$B$7:$B$36,COLUMNS($D11:AF11)))</f>
        <v/>
      </c>
      <c r="AG11" s="97" t="str" cm="1">
        <f t="array" ref="AG11">IF(OR($A11="",COLUMNS($D11:AG11)&gt;Beheer!$C$4),"",N(INDEX(Dashboard!$C$2:$AF$61,MATCH(LARGE(Dashboard!$AI$2:$AI$61,$A11),Dashboard!$AI$2:$AI$61,0),COLUMNS($D11:AG11)))&amp;"/"&amp;INDEX(Beheer!$B$7:$B$36,COLUMNS($D11:AG11)))</f>
        <v/>
      </c>
    </row>
    <row r="12" spans="1:33" ht="24" customHeight="1" thickBot="1" x14ac:dyDescent="0.5">
      <c r="A12" s="99">
        <f>IF(ROWS($A$2:A12)&gt;COUNTA(Beheer!$F$7:$F$66),"",ROWS($A$2:A12))</f>
        <v>11</v>
      </c>
      <c r="B12" s="102" t="str">
        <f>IF($A12="","",INDEX(Dashboard!$A$2:$A$61,MATCH(LARGE(Dashboard!$AI$2:$AI$61,$A12),Dashboard!$AI$2:$AI$61,0)))</f>
        <v>Pataten met Stoofvlees</v>
      </c>
      <c r="C12" s="94" t="str">
        <f>IF($A12="","",INDEX(Dashboard!$AG$2:$AG$61,MATCH(LARGE(Dashboard!$AI$2:$AI$61,$A12),Dashboard!$AI$2:$AI$61,0))&amp;" / "&amp;INDEX(Dashboard!$AH$2:$AH$61,MATCH(LARGE(Dashboard!$AI$2:$AI$61,$A12),Dashboard!$AI$2:$AI$61,0)))</f>
        <v>74 / 130</v>
      </c>
      <c r="D12" s="95" t="str" cm="1">
        <f t="array" ref="D12">IF(OR($A12="",COLUMNS($D12:D12)&gt;Beheer!$C$4),"",N(INDEX(Dashboard!$C$2:$AF$61,MATCH(LARGE(Dashboard!$AI$2:$AI$61,$A12),Dashboard!$AI$2:$AI$61,0),COLUMNS($D12:D12)))&amp;"/"&amp;INDEX(Beheer!$B$7:$B$36,COLUMNS($D12:D12)))</f>
        <v>10/10</v>
      </c>
      <c r="E12" s="95" t="str" cm="1">
        <f t="array" ref="E12">IF(OR($A12="",COLUMNS($D12:E12)&gt;Beheer!$C$4),"",N(INDEX(Dashboard!$C$2:$AF$61,MATCH(LARGE(Dashboard!$AI$2:$AI$61,$A12),Dashboard!$AI$2:$AI$61,0),COLUMNS($D12:E12)))&amp;"/"&amp;INDEX(Beheer!$B$7:$B$36,COLUMNS($D12:E12)))</f>
        <v>10/10</v>
      </c>
      <c r="F12" s="95" t="str" cm="1">
        <f t="array" ref="F12">IF(OR($A12="",COLUMNS($D12:F12)&gt;Beheer!$C$4),"",N(INDEX(Dashboard!$C$2:$AF$61,MATCH(LARGE(Dashboard!$AI$2:$AI$61,$A12),Dashboard!$AI$2:$AI$61,0),COLUMNS($D12:F12)))&amp;"/"&amp;INDEX(Beheer!$B$7:$B$36,COLUMNS($D12:F12)))</f>
        <v>1/10</v>
      </c>
      <c r="G12" s="95" t="str" cm="1">
        <f t="array" ref="G12">IF(OR($A12="",COLUMNS($D12:G12)&gt;Beheer!$C$4),"",N(INDEX(Dashboard!$C$2:$AF$61,MATCH(LARGE(Dashboard!$AI$2:$AI$61,$A12),Dashboard!$AI$2:$AI$61,0),COLUMNS($D12:G12)))&amp;"/"&amp;INDEX(Beheer!$B$7:$B$36,COLUMNS($D12:G12)))</f>
        <v>11/20</v>
      </c>
      <c r="H12" s="95" t="str" cm="1">
        <f t="array" ref="H12">IF(OR($A12="",COLUMNS($D12:H12)&gt;Beheer!$C$4),"",N(INDEX(Dashboard!$C$2:$AF$61,MATCH(LARGE(Dashboard!$AI$2:$AI$61,$A12),Dashboard!$AI$2:$AI$61,0),COLUMNS($D12:H12)))&amp;"/"&amp;INDEX(Beheer!$B$7:$B$36,COLUMNS($D12:H12)))</f>
        <v>4/10</v>
      </c>
      <c r="I12" s="95" t="str" cm="1">
        <f t="array" ref="I12">IF(OR($A12="",COLUMNS($D12:I12)&gt;Beheer!$C$4),"",N(INDEX(Dashboard!$C$2:$AF$61,MATCH(LARGE(Dashboard!$AI$2:$AI$61,$A12),Dashboard!$AI$2:$AI$61,0),COLUMNS($D12:I12)))&amp;"/"&amp;INDEX(Beheer!$B$7:$B$36,COLUMNS($D12:I12)))</f>
        <v>2/10</v>
      </c>
      <c r="J12" s="95" t="str" cm="1">
        <f t="array" ref="J12">IF(OR($A12="",COLUMNS($D12:J12)&gt;Beheer!$C$4),"",N(INDEX(Dashboard!$C$2:$AF$61,MATCH(LARGE(Dashboard!$AI$2:$AI$61,$A12),Dashboard!$AI$2:$AI$61,0),COLUMNS($D12:J12)))&amp;"/"&amp;INDEX(Beheer!$B$7:$B$36,COLUMNS($D12:J12)))</f>
        <v>4/10</v>
      </c>
      <c r="K12" s="95" t="str" cm="1">
        <f t="array" ref="K12">IF(OR($A12="",COLUMNS($D12:K12)&gt;Beheer!$C$4),"",N(INDEX(Dashboard!$C$2:$AF$61,MATCH(LARGE(Dashboard!$AI$2:$AI$61,$A12),Dashboard!$AI$2:$AI$61,0),COLUMNS($D12:K12)))&amp;"/"&amp;INDEX(Beheer!$B$7:$B$36,COLUMNS($D12:K12)))</f>
        <v>10/15</v>
      </c>
      <c r="L12" s="95" t="str" cm="1">
        <f t="array" ref="L12">IF(OR($A12="",COLUMNS($D12:L12)&gt;Beheer!$C$4),"",N(INDEX(Dashboard!$C$2:$AF$61,MATCH(LARGE(Dashboard!$AI$2:$AI$61,$A12),Dashboard!$AI$2:$AI$61,0),COLUMNS($D12:L12)))&amp;"/"&amp;INDEX(Beheer!$B$7:$B$36,COLUMNS($D12:L12)))</f>
        <v>2/10</v>
      </c>
      <c r="M12" s="95" t="str" cm="1">
        <f t="array" ref="M12">IF(OR($A12="",COLUMNS($D12:M12)&gt;Beheer!$C$4),"",N(INDEX(Dashboard!$C$2:$AF$61,MATCH(LARGE(Dashboard!$AI$2:$AI$61,$A12),Dashboard!$AI$2:$AI$61,0),COLUMNS($D12:M12)))&amp;"/"&amp;INDEX(Beheer!$B$7:$B$36,COLUMNS($D12:M12)))</f>
        <v>9/10</v>
      </c>
      <c r="N12" s="95" t="str" cm="1">
        <f t="array" ref="N12">IF(OR($A12="",COLUMNS($D12:N12)&gt;Beheer!$C$4),"",N(INDEX(Dashboard!$C$2:$AF$61,MATCH(LARGE(Dashboard!$AI$2:$AI$61,$A12),Dashboard!$AI$2:$AI$61,0),COLUMNS($D12:N12)))&amp;"/"&amp;INDEX(Beheer!$B$7:$B$36,COLUMNS($D12:N12)))</f>
        <v>4/5</v>
      </c>
      <c r="O12" s="95" t="str" cm="1">
        <f t="array" ref="O12">IF(OR($A12="",COLUMNS($D12:O12)&gt;Beheer!$C$4),"",N(INDEX(Dashboard!$C$2:$AF$61,MATCH(LARGE(Dashboard!$AI$2:$AI$61,$A12),Dashboard!$AI$2:$AI$61,0),COLUMNS($D12:O12)))&amp;"/"&amp;INDEX(Beheer!$B$7:$B$36,COLUMNS($D12:O12)))</f>
        <v>7/10</v>
      </c>
      <c r="P12" s="95" t="str" cm="1">
        <f t="array" ref="P12">IF(OR($A12="",COLUMNS($D12:P12)&gt;Beheer!$C$4),"",N(INDEX(Dashboard!$C$2:$AF$61,MATCH(LARGE(Dashboard!$AI$2:$AI$61,$A12),Dashboard!$AI$2:$AI$61,0),COLUMNS($D12:P12)))&amp;"/"&amp;INDEX(Beheer!$B$7:$B$36,COLUMNS($D12:P12)))</f>
        <v/>
      </c>
      <c r="Q12" s="95" t="str" cm="1">
        <f t="array" ref="Q12">IF(OR($A12="",COLUMNS($D12:Q12)&gt;Beheer!$C$4),"",N(INDEX(Dashboard!$C$2:$AF$61,MATCH(LARGE(Dashboard!$AI$2:$AI$61,$A12),Dashboard!$AI$2:$AI$61,0),COLUMNS($D12:Q12)))&amp;"/"&amp;INDEX(Beheer!$B$7:$B$36,COLUMNS($D12:Q12)))</f>
        <v/>
      </c>
      <c r="R12" s="95" t="str" cm="1">
        <f t="array" ref="R12">IF(OR($A12="",COLUMNS($D12:R12)&gt;Beheer!$C$4),"",N(INDEX(Dashboard!$C$2:$AF$61,MATCH(LARGE(Dashboard!$AI$2:$AI$61,$A12),Dashboard!$AI$2:$AI$61,0),COLUMNS($D12:R12)))&amp;"/"&amp;INDEX(Beheer!$B$7:$B$36,COLUMNS($D12:R12)))</f>
        <v/>
      </c>
      <c r="S12" s="95" t="str" cm="1">
        <f t="array" ref="S12">IF(OR($A12="",COLUMNS($D12:S12)&gt;Beheer!$C$4),"",N(INDEX(Dashboard!$C$2:$AF$61,MATCH(LARGE(Dashboard!$AI$2:$AI$61,$A12),Dashboard!$AI$2:$AI$61,0),COLUMNS($D12:S12)))&amp;"/"&amp;INDEX(Beheer!$B$7:$B$36,COLUMNS($D12:S12)))</f>
        <v/>
      </c>
      <c r="T12" s="95" t="str" cm="1">
        <f t="array" ref="T12">IF(OR($A12="",COLUMNS($D12:T12)&gt;Beheer!$C$4),"",N(INDEX(Dashboard!$C$2:$AF$61,MATCH(LARGE(Dashboard!$AI$2:$AI$61,$A12),Dashboard!$AI$2:$AI$61,0),COLUMNS($D12:T12)))&amp;"/"&amp;INDEX(Beheer!$B$7:$B$36,COLUMNS($D12:T12)))</f>
        <v/>
      </c>
      <c r="U12" s="95" t="str" cm="1">
        <f t="array" ref="U12">IF(OR($A12="",COLUMNS($D12:U12)&gt;Beheer!$C$4),"",N(INDEX(Dashboard!$C$2:$AF$61,MATCH(LARGE(Dashboard!$AI$2:$AI$61,$A12),Dashboard!$AI$2:$AI$61,0),COLUMNS($D12:U12)))&amp;"/"&amp;INDEX(Beheer!$B$7:$B$36,COLUMNS($D12:U12)))</f>
        <v/>
      </c>
      <c r="V12" s="95" t="str" cm="1">
        <f t="array" ref="V12">IF(OR($A12="",COLUMNS($D12:V12)&gt;Beheer!$C$4),"",N(INDEX(Dashboard!$C$2:$AF$61,MATCH(LARGE(Dashboard!$AI$2:$AI$61,$A12),Dashboard!$AI$2:$AI$61,0),COLUMNS($D12:V12)))&amp;"/"&amp;INDEX(Beheer!$B$7:$B$36,COLUMNS($D12:V12)))</f>
        <v/>
      </c>
      <c r="W12" s="95" t="str" cm="1">
        <f t="array" ref="W12">IF(OR($A12="",COLUMNS($D12:W12)&gt;Beheer!$C$4),"",N(INDEX(Dashboard!$C$2:$AF$61,MATCH(LARGE(Dashboard!$AI$2:$AI$61,$A12),Dashboard!$AI$2:$AI$61,0),COLUMNS($D12:W12)))&amp;"/"&amp;INDEX(Beheer!$B$7:$B$36,COLUMNS($D12:W12)))</f>
        <v/>
      </c>
      <c r="X12" s="95" t="str" cm="1">
        <f t="array" ref="X12">IF(OR($A12="",COLUMNS($D12:X12)&gt;Beheer!$C$4),"",N(INDEX(Dashboard!$C$2:$AF$61,MATCH(LARGE(Dashboard!$AI$2:$AI$61,$A12),Dashboard!$AI$2:$AI$61,0),COLUMNS($D12:X12)))&amp;"/"&amp;INDEX(Beheer!$B$7:$B$36,COLUMNS($D12:X12)))</f>
        <v/>
      </c>
      <c r="Y12" s="95" t="str" cm="1">
        <f t="array" ref="Y12">IF(OR($A12="",COLUMNS($D12:Y12)&gt;Beheer!$C$4),"",N(INDEX(Dashboard!$C$2:$AF$61,MATCH(LARGE(Dashboard!$AI$2:$AI$61,$A12),Dashboard!$AI$2:$AI$61,0),COLUMNS($D12:Y12)))&amp;"/"&amp;INDEX(Beheer!$B$7:$B$36,COLUMNS($D12:Y12)))</f>
        <v/>
      </c>
      <c r="Z12" s="95" t="str" cm="1">
        <f t="array" ref="Z12">IF(OR($A12="",COLUMNS($D12:Z12)&gt;Beheer!$C$4),"",N(INDEX(Dashboard!$C$2:$AF$61,MATCH(LARGE(Dashboard!$AI$2:$AI$61,$A12),Dashboard!$AI$2:$AI$61,0),COLUMNS($D12:Z12)))&amp;"/"&amp;INDEX(Beheer!$B$7:$B$36,COLUMNS($D12:Z12)))</f>
        <v/>
      </c>
      <c r="AA12" s="95" t="str" cm="1">
        <f t="array" ref="AA12">IF(OR($A12="",COLUMNS($D12:AA12)&gt;Beheer!$C$4),"",N(INDEX(Dashboard!$C$2:$AF$61,MATCH(LARGE(Dashboard!$AI$2:$AI$61,$A12),Dashboard!$AI$2:$AI$61,0),COLUMNS($D12:AA12)))&amp;"/"&amp;INDEX(Beheer!$B$7:$B$36,COLUMNS($D12:AA12)))</f>
        <v/>
      </c>
      <c r="AB12" s="95" t="str" cm="1">
        <f t="array" ref="AB12">IF(OR($A12="",COLUMNS($D12:AB12)&gt;Beheer!$C$4),"",N(INDEX(Dashboard!$C$2:$AF$61,MATCH(LARGE(Dashboard!$AI$2:$AI$61,$A12),Dashboard!$AI$2:$AI$61,0),COLUMNS($D12:AB12)))&amp;"/"&amp;INDEX(Beheer!$B$7:$B$36,COLUMNS($D12:AB12)))</f>
        <v/>
      </c>
      <c r="AC12" s="95" t="str" cm="1">
        <f t="array" ref="AC12">IF(OR($A12="",COLUMNS($D12:AC12)&gt;Beheer!$C$4),"",N(INDEX(Dashboard!$C$2:$AF$61,MATCH(LARGE(Dashboard!$AI$2:$AI$61,$A12),Dashboard!$AI$2:$AI$61,0),COLUMNS($D12:AC12)))&amp;"/"&amp;INDEX(Beheer!$B$7:$B$36,COLUMNS($D12:AC12)))</f>
        <v/>
      </c>
      <c r="AD12" s="95" t="str" cm="1">
        <f t="array" ref="AD12">IF(OR($A12="",COLUMNS($D12:AD12)&gt;Beheer!$C$4),"",N(INDEX(Dashboard!$C$2:$AF$61,MATCH(LARGE(Dashboard!$AI$2:$AI$61,$A12),Dashboard!$AI$2:$AI$61,0),COLUMNS($D12:AD12)))&amp;"/"&amp;INDEX(Beheer!$B$7:$B$36,COLUMNS($D12:AD12)))</f>
        <v/>
      </c>
      <c r="AE12" s="95" t="str" cm="1">
        <f t="array" ref="AE12">IF(OR($A12="",COLUMNS($D12:AE12)&gt;Beheer!$C$4),"",N(INDEX(Dashboard!$C$2:$AF$61,MATCH(LARGE(Dashboard!$AI$2:$AI$61,$A12),Dashboard!$AI$2:$AI$61,0),COLUMNS($D12:AE12)))&amp;"/"&amp;INDEX(Beheer!$B$7:$B$36,COLUMNS($D12:AE12)))</f>
        <v/>
      </c>
      <c r="AF12" s="95" t="str" cm="1">
        <f t="array" ref="AF12">IF(OR($A12="",COLUMNS($D12:AF12)&gt;Beheer!$C$4),"",N(INDEX(Dashboard!$C$2:$AF$61,MATCH(LARGE(Dashboard!$AI$2:$AI$61,$A12),Dashboard!$AI$2:$AI$61,0),COLUMNS($D12:AF12)))&amp;"/"&amp;INDEX(Beheer!$B$7:$B$36,COLUMNS($D12:AF12)))</f>
        <v/>
      </c>
      <c r="AG12" s="95" t="str" cm="1">
        <f t="array" ref="AG12">IF(OR($A12="",COLUMNS($D12:AG12)&gt;Beheer!$C$4),"",N(INDEX(Dashboard!$C$2:$AF$61,MATCH(LARGE(Dashboard!$AI$2:$AI$61,$A12),Dashboard!$AI$2:$AI$61,0),COLUMNS($D12:AG12)))&amp;"/"&amp;INDEX(Beheer!$B$7:$B$36,COLUMNS($D12:AG12)))</f>
        <v/>
      </c>
    </row>
    <row r="13" spans="1:33" ht="24" customHeight="1" thickBot="1" x14ac:dyDescent="0.5">
      <c r="A13" s="98">
        <f>IF(ROWS($A$2:A13)&gt;COUNTA(Beheer!$F$7:$F$66),"",ROWS($A$2:A13))</f>
        <v>12</v>
      </c>
      <c r="B13" s="101" t="str">
        <f>IF($A13="","",INDEX(Dashboard!$A$2:$A$61,MATCH(LARGE(Dashboard!$AI$2:$AI$61,$A13),Dashboard!$AI$2:$AI$61,0)))</f>
        <v>Smoutebollen FC</v>
      </c>
      <c r="C13" s="96" t="str">
        <f>IF($A13="","",INDEX(Dashboard!$AG$2:$AG$61,MATCH(LARGE(Dashboard!$AI$2:$AI$61,$A13),Dashboard!$AI$2:$AI$61,0))&amp;" / "&amp;INDEX(Dashboard!$AH$2:$AH$61,MATCH(LARGE(Dashboard!$AI$2:$AI$61,$A13),Dashboard!$AI$2:$AI$61,0)))</f>
        <v>74 / 130</v>
      </c>
      <c r="D13" s="97" t="str" cm="1">
        <f t="array" ref="D13">IF(OR($A13="",COLUMNS($D13:D13)&gt;Beheer!$C$4),"",N(INDEX(Dashboard!$C$2:$AF$61,MATCH(LARGE(Dashboard!$AI$2:$AI$61,$A13),Dashboard!$AI$2:$AI$61,0),COLUMNS($D13:D13)))&amp;"/"&amp;INDEX(Beheer!$B$7:$B$36,COLUMNS($D13:D13)))</f>
        <v>9/10</v>
      </c>
      <c r="E13" s="97" t="str" cm="1">
        <f t="array" ref="E13">IF(OR($A13="",COLUMNS($D13:E13)&gt;Beheer!$C$4),"",N(INDEX(Dashboard!$C$2:$AF$61,MATCH(LARGE(Dashboard!$AI$2:$AI$61,$A13),Dashboard!$AI$2:$AI$61,0),COLUMNS($D13:E13)))&amp;"/"&amp;INDEX(Beheer!$B$7:$B$36,COLUMNS($D13:E13)))</f>
        <v>10/10</v>
      </c>
      <c r="F13" s="97" t="str" cm="1">
        <f t="array" ref="F13">IF(OR($A13="",COLUMNS($D13:F13)&gt;Beheer!$C$4),"",N(INDEX(Dashboard!$C$2:$AF$61,MATCH(LARGE(Dashboard!$AI$2:$AI$61,$A13),Dashboard!$AI$2:$AI$61,0),COLUMNS($D13:F13)))&amp;"/"&amp;INDEX(Beheer!$B$7:$B$36,COLUMNS($D13:F13)))</f>
        <v>5/10</v>
      </c>
      <c r="G13" s="97" t="str" cm="1">
        <f t="array" ref="G13">IF(OR($A13="",COLUMNS($D13:G13)&gt;Beheer!$C$4),"",N(INDEX(Dashboard!$C$2:$AF$61,MATCH(LARGE(Dashboard!$AI$2:$AI$61,$A13),Dashboard!$AI$2:$AI$61,0),COLUMNS($D13:G13)))&amp;"/"&amp;INDEX(Beheer!$B$7:$B$36,COLUMNS($D13:G13)))</f>
        <v>1/20</v>
      </c>
      <c r="H13" s="97" t="str" cm="1">
        <f t="array" ref="H13">IF(OR($A13="",COLUMNS($D13:H13)&gt;Beheer!$C$4),"",N(INDEX(Dashboard!$C$2:$AF$61,MATCH(LARGE(Dashboard!$AI$2:$AI$61,$A13),Dashboard!$AI$2:$AI$61,0),COLUMNS($D13:H13)))&amp;"/"&amp;INDEX(Beheer!$B$7:$B$36,COLUMNS($D13:H13)))</f>
        <v>10/10</v>
      </c>
      <c r="I13" s="97" t="str" cm="1">
        <f t="array" ref="I13">IF(OR($A13="",COLUMNS($D13:I13)&gt;Beheer!$C$4),"",N(INDEX(Dashboard!$C$2:$AF$61,MATCH(LARGE(Dashboard!$AI$2:$AI$61,$A13),Dashboard!$AI$2:$AI$61,0),COLUMNS($D13:I13)))&amp;"/"&amp;INDEX(Beheer!$B$7:$B$36,COLUMNS($D13:I13)))</f>
        <v>3/10</v>
      </c>
      <c r="J13" s="97" t="str" cm="1">
        <f t="array" ref="J13">IF(OR($A13="",COLUMNS($D13:J13)&gt;Beheer!$C$4),"",N(INDEX(Dashboard!$C$2:$AF$61,MATCH(LARGE(Dashboard!$AI$2:$AI$61,$A13),Dashboard!$AI$2:$AI$61,0),COLUMNS($D13:J13)))&amp;"/"&amp;INDEX(Beheer!$B$7:$B$36,COLUMNS($D13:J13)))</f>
        <v>9/10</v>
      </c>
      <c r="K13" s="97" t="str" cm="1">
        <f t="array" ref="K13">IF(OR($A13="",COLUMNS($D13:K13)&gt;Beheer!$C$4),"",N(INDEX(Dashboard!$C$2:$AF$61,MATCH(LARGE(Dashboard!$AI$2:$AI$61,$A13),Dashboard!$AI$2:$AI$61,0),COLUMNS($D13:K13)))&amp;"/"&amp;INDEX(Beheer!$B$7:$B$36,COLUMNS($D13:K13)))</f>
        <v>9/15</v>
      </c>
      <c r="L13" s="97" t="str" cm="1">
        <f t="array" ref="L13">IF(OR($A13="",COLUMNS($D13:L13)&gt;Beheer!$C$4),"",N(INDEX(Dashboard!$C$2:$AF$61,MATCH(LARGE(Dashboard!$AI$2:$AI$61,$A13),Dashboard!$AI$2:$AI$61,0),COLUMNS($D13:L13)))&amp;"/"&amp;INDEX(Beheer!$B$7:$B$36,COLUMNS($D13:L13)))</f>
        <v>9/10</v>
      </c>
      <c r="M13" s="97" t="str" cm="1">
        <f t="array" ref="M13">IF(OR($A13="",COLUMNS($D13:M13)&gt;Beheer!$C$4),"",N(INDEX(Dashboard!$C$2:$AF$61,MATCH(LARGE(Dashboard!$AI$2:$AI$61,$A13),Dashboard!$AI$2:$AI$61,0),COLUMNS($D13:M13)))&amp;"/"&amp;INDEX(Beheer!$B$7:$B$36,COLUMNS($D13:M13)))</f>
        <v>3/10</v>
      </c>
      <c r="N13" s="97" t="str" cm="1">
        <f t="array" ref="N13">IF(OR($A13="",COLUMNS($D13:N13)&gt;Beheer!$C$4),"",N(INDEX(Dashboard!$C$2:$AF$61,MATCH(LARGE(Dashboard!$AI$2:$AI$61,$A13),Dashboard!$AI$2:$AI$61,0),COLUMNS($D13:N13)))&amp;"/"&amp;INDEX(Beheer!$B$7:$B$36,COLUMNS($D13:N13)))</f>
        <v>2/5</v>
      </c>
      <c r="O13" s="97" t="str" cm="1">
        <f t="array" ref="O13">IF(OR($A13="",COLUMNS($D13:O13)&gt;Beheer!$C$4),"",N(INDEX(Dashboard!$C$2:$AF$61,MATCH(LARGE(Dashboard!$AI$2:$AI$61,$A13),Dashboard!$AI$2:$AI$61,0),COLUMNS($D13:O13)))&amp;"/"&amp;INDEX(Beheer!$B$7:$B$36,COLUMNS($D13:O13)))</f>
        <v>4/10</v>
      </c>
      <c r="P13" s="97" t="str" cm="1">
        <f t="array" ref="P13">IF(OR($A13="",COLUMNS($D13:P13)&gt;Beheer!$C$4),"",N(INDEX(Dashboard!$C$2:$AF$61,MATCH(LARGE(Dashboard!$AI$2:$AI$61,$A13),Dashboard!$AI$2:$AI$61,0),COLUMNS($D13:P13)))&amp;"/"&amp;INDEX(Beheer!$B$7:$B$36,COLUMNS($D13:P13)))</f>
        <v/>
      </c>
      <c r="Q13" s="97" t="str" cm="1">
        <f t="array" ref="Q13">IF(OR($A13="",COLUMNS($D13:Q13)&gt;Beheer!$C$4),"",N(INDEX(Dashboard!$C$2:$AF$61,MATCH(LARGE(Dashboard!$AI$2:$AI$61,$A13),Dashboard!$AI$2:$AI$61,0),COLUMNS($D13:Q13)))&amp;"/"&amp;INDEX(Beheer!$B$7:$B$36,COLUMNS($D13:Q13)))</f>
        <v/>
      </c>
      <c r="R13" s="97" t="str" cm="1">
        <f t="array" ref="R13">IF(OR($A13="",COLUMNS($D13:R13)&gt;Beheer!$C$4),"",N(INDEX(Dashboard!$C$2:$AF$61,MATCH(LARGE(Dashboard!$AI$2:$AI$61,$A13),Dashboard!$AI$2:$AI$61,0),COLUMNS($D13:R13)))&amp;"/"&amp;INDEX(Beheer!$B$7:$B$36,COLUMNS($D13:R13)))</f>
        <v/>
      </c>
      <c r="S13" s="97" t="str" cm="1">
        <f t="array" ref="S13">IF(OR($A13="",COLUMNS($D13:S13)&gt;Beheer!$C$4),"",N(INDEX(Dashboard!$C$2:$AF$61,MATCH(LARGE(Dashboard!$AI$2:$AI$61,$A13),Dashboard!$AI$2:$AI$61,0),COLUMNS($D13:S13)))&amp;"/"&amp;INDEX(Beheer!$B$7:$B$36,COLUMNS($D13:S13)))</f>
        <v/>
      </c>
      <c r="T13" s="97" t="str" cm="1">
        <f t="array" ref="T13">IF(OR($A13="",COLUMNS($D13:T13)&gt;Beheer!$C$4),"",N(INDEX(Dashboard!$C$2:$AF$61,MATCH(LARGE(Dashboard!$AI$2:$AI$61,$A13),Dashboard!$AI$2:$AI$61,0),COLUMNS($D13:T13)))&amp;"/"&amp;INDEX(Beheer!$B$7:$B$36,COLUMNS($D13:T13)))</f>
        <v/>
      </c>
      <c r="U13" s="97" t="str" cm="1">
        <f t="array" ref="U13">IF(OR($A13="",COLUMNS($D13:U13)&gt;Beheer!$C$4),"",N(INDEX(Dashboard!$C$2:$AF$61,MATCH(LARGE(Dashboard!$AI$2:$AI$61,$A13),Dashboard!$AI$2:$AI$61,0),COLUMNS($D13:U13)))&amp;"/"&amp;INDEX(Beheer!$B$7:$B$36,COLUMNS($D13:U13)))</f>
        <v/>
      </c>
      <c r="V13" s="97" t="str" cm="1">
        <f t="array" ref="V13">IF(OR($A13="",COLUMNS($D13:V13)&gt;Beheer!$C$4),"",N(INDEX(Dashboard!$C$2:$AF$61,MATCH(LARGE(Dashboard!$AI$2:$AI$61,$A13),Dashboard!$AI$2:$AI$61,0),COLUMNS($D13:V13)))&amp;"/"&amp;INDEX(Beheer!$B$7:$B$36,COLUMNS($D13:V13)))</f>
        <v/>
      </c>
      <c r="W13" s="97" t="str" cm="1">
        <f t="array" ref="W13">IF(OR($A13="",COLUMNS($D13:W13)&gt;Beheer!$C$4),"",N(INDEX(Dashboard!$C$2:$AF$61,MATCH(LARGE(Dashboard!$AI$2:$AI$61,$A13),Dashboard!$AI$2:$AI$61,0),COLUMNS($D13:W13)))&amp;"/"&amp;INDEX(Beheer!$B$7:$B$36,COLUMNS($D13:W13)))</f>
        <v/>
      </c>
      <c r="X13" s="97" t="str" cm="1">
        <f t="array" ref="X13">IF(OR($A13="",COLUMNS($D13:X13)&gt;Beheer!$C$4),"",N(INDEX(Dashboard!$C$2:$AF$61,MATCH(LARGE(Dashboard!$AI$2:$AI$61,$A13),Dashboard!$AI$2:$AI$61,0),COLUMNS($D13:X13)))&amp;"/"&amp;INDEX(Beheer!$B$7:$B$36,COLUMNS($D13:X13)))</f>
        <v/>
      </c>
      <c r="Y13" s="97" t="str" cm="1">
        <f t="array" ref="Y13">IF(OR($A13="",COLUMNS($D13:Y13)&gt;Beheer!$C$4),"",N(INDEX(Dashboard!$C$2:$AF$61,MATCH(LARGE(Dashboard!$AI$2:$AI$61,$A13),Dashboard!$AI$2:$AI$61,0),COLUMNS($D13:Y13)))&amp;"/"&amp;INDEX(Beheer!$B$7:$B$36,COLUMNS($D13:Y13)))</f>
        <v/>
      </c>
      <c r="Z13" s="97" t="str" cm="1">
        <f t="array" ref="Z13">IF(OR($A13="",COLUMNS($D13:Z13)&gt;Beheer!$C$4),"",N(INDEX(Dashboard!$C$2:$AF$61,MATCH(LARGE(Dashboard!$AI$2:$AI$61,$A13),Dashboard!$AI$2:$AI$61,0),COLUMNS($D13:Z13)))&amp;"/"&amp;INDEX(Beheer!$B$7:$B$36,COLUMNS($D13:Z13)))</f>
        <v/>
      </c>
      <c r="AA13" s="97" t="str" cm="1">
        <f t="array" ref="AA13">IF(OR($A13="",COLUMNS($D13:AA13)&gt;Beheer!$C$4),"",N(INDEX(Dashboard!$C$2:$AF$61,MATCH(LARGE(Dashboard!$AI$2:$AI$61,$A13),Dashboard!$AI$2:$AI$61,0),COLUMNS($D13:AA13)))&amp;"/"&amp;INDEX(Beheer!$B$7:$B$36,COLUMNS($D13:AA13)))</f>
        <v/>
      </c>
      <c r="AB13" s="97" t="str" cm="1">
        <f t="array" ref="AB13">IF(OR($A13="",COLUMNS($D13:AB13)&gt;Beheer!$C$4),"",N(INDEX(Dashboard!$C$2:$AF$61,MATCH(LARGE(Dashboard!$AI$2:$AI$61,$A13),Dashboard!$AI$2:$AI$61,0),COLUMNS($D13:AB13)))&amp;"/"&amp;INDEX(Beheer!$B$7:$B$36,COLUMNS($D13:AB13)))</f>
        <v/>
      </c>
      <c r="AC13" s="97" t="str" cm="1">
        <f t="array" ref="AC13">IF(OR($A13="",COLUMNS($D13:AC13)&gt;Beheer!$C$4),"",N(INDEX(Dashboard!$C$2:$AF$61,MATCH(LARGE(Dashboard!$AI$2:$AI$61,$A13),Dashboard!$AI$2:$AI$61,0),COLUMNS($D13:AC13)))&amp;"/"&amp;INDEX(Beheer!$B$7:$B$36,COLUMNS($D13:AC13)))</f>
        <v/>
      </c>
      <c r="AD13" s="97" t="str" cm="1">
        <f t="array" ref="AD13">IF(OR($A13="",COLUMNS($D13:AD13)&gt;Beheer!$C$4),"",N(INDEX(Dashboard!$C$2:$AF$61,MATCH(LARGE(Dashboard!$AI$2:$AI$61,$A13),Dashboard!$AI$2:$AI$61,0),COLUMNS($D13:AD13)))&amp;"/"&amp;INDEX(Beheer!$B$7:$B$36,COLUMNS($D13:AD13)))</f>
        <v/>
      </c>
      <c r="AE13" s="97" t="str" cm="1">
        <f t="array" ref="AE13">IF(OR($A13="",COLUMNS($D13:AE13)&gt;Beheer!$C$4),"",N(INDEX(Dashboard!$C$2:$AF$61,MATCH(LARGE(Dashboard!$AI$2:$AI$61,$A13),Dashboard!$AI$2:$AI$61,0),COLUMNS($D13:AE13)))&amp;"/"&amp;INDEX(Beheer!$B$7:$B$36,COLUMNS($D13:AE13)))</f>
        <v/>
      </c>
      <c r="AF13" s="97" t="str" cm="1">
        <f t="array" ref="AF13">IF(OR($A13="",COLUMNS($D13:AF13)&gt;Beheer!$C$4),"",N(INDEX(Dashboard!$C$2:$AF$61,MATCH(LARGE(Dashboard!$AI$2:$AI$61,$A13),Dashboard!$AI$2:$AI$61,0),COLUMNS($D13:AF13)))&amp;"/"&amp;INDEX(Beheer!$B$7:$B$36,COLUMNS($D13:AF13)))</f>
        <v/>
      </c>
      <c r="AG13" s="97" t="str" cm="1">
        <f t="array" ref="AG13">IF(OR($A13="",COLUMNS($D13:AG13)&gt;Beheer!$C$4),"",N(INDEX(Dashboard!$C$2:$AF$61,MATCH(LARGE(Dashboard!$AI$2:$AI$61,$A13),Dashboard!$AI$2:$AI$61,0),COLUMNS($D13:AG13)))&amp;"/"&amp;INDEX(Beheer!$B$7:$B$36,COLUMNS($D13:AG13)))</f>
        <v/>
      </c>
    </row>
    <row r="14" spans="1:33" ht="24" customHeight="1" thickBot="1" x14ac:dyDescent="0.5">
      <c r="A14" s="99">
        <f>IF(ROWS($A$2:A14)&gt;COUNTA(Beheer!$F$7:$F$66),"",ROWS($A$2:A14))</f>
        <v>13</v>
      </c>
      <c r="B14" s="102" t="str">
        <f>IF($A14="","",INDEX(Dashboard!$A$2:$A$61,MATCH(LARGE(Dashboard!$AI$2:$AI$61,$A14),Dashboard!$AI$2:$AI$61,0)))</f>
        <v>De Wijze Uilen</v>
      </c>
      <c r="C14" s="94" t="str">
        <f>IF($A14="","",INDEX(Dashboard!$AG$2:$AG$61,MATCH(LARGE(Dashboard!$AI$2:$AI$61,$A14),Dashboard!$AI$2:$AI$61,0))&amp;" / "&amp;INDEX(Dashboard!$AH$2:$AH$61,MATCH(LARGE(Dashboard!$AI$2:$AI$61,$A14),Dashboard!$AI$2:$AI$61,0)))</f>
        <v>72 / 130</v>
      </c>
      <c r="D14" s="95" t="str" cm="1">
        <f t="array" ref="D14">IF(OR($A14="",COLUMNS($D14:D14)&gt;Beheer!$C$4),"",N(INDEX(Dashboard!$C$2:$AF$61,MATCH(LARGE(Dashboard!$AI$2:$AI$61,$A14),Dashboard!$AI$2:$AI$61,0),COLUMNS($D14:D14)))&amp;"/"&amp;INDEX(Beheer!$B$7:$B$36,COLUMNS($D14:D14)))</f>
        <v>4/10</v>
      </c>
      <c r="E14" s="95" t="str" cm="1">
        <f t="array" ref="E14">IF(OR($A14="",COLUMNS($D14:E14)&gt;Beheer!$C$4),"",N(INDEX(Dashboard!$C$2:$AF$61,MATCH(LARGE(Dashboard!$AI$2:$AI$61,$A14),Dashboard!$AI$2:$AI$61,0),COLUMNS($D14:E14)))&amp;"/"&amp;INDEX(Beheer!$B$7:$B$36,COLUMNS($D14:E14)))</f>
        <v>7/10</v>
      </c>
      <c r="F14" s="95" t="str" cm="1">
        <f t="array" ref="F14">IF(OR($A14="",COLUMNS($D14:F14)&gt;Beheer!$C$4),"",N(INDEX(Dashboard!$C$2:$AF$61,MATCH(LARGE(Dashboard!$AI$2:$AI$61,$A14),Dashboard!$AI$2:$AI$61,0),COLUMNS($D14:F14)))&amp;"/"&amp;INDEX(Beheer!$B$7:$B$36,COLUMNS($D14:F14)))</f>
        <v>3/10</v>
      </c>
      <c r="G14" s="95" t="str" cm="1">
        <f t="array" ref="G14">IF(OR($A14="",COLUMNS($D14:G14)&gt;Beheer!$C$4),"",N(INDEX(Dashboard!$C$2:$AF$61,MATCH(LARGE(Dashboard!$AI$2:$AI$61,$A14),Dashboard!$AI$2:$AI$61,0),COLUMNS($D14:G14)))&amp;"/"&amp;INDEX(Beheer!$B$7:$B$36,COLUMNS($D14:G14)))</f>
        <v>13/20</v>
      </c>
      <c r="H14" s="95" t="str" cm="1">
        <f t="array" ref="H14">IF(OR($A14="",COLUMNS($D14:H14)&gt;Beheer!$C$4),"",N(INDEX(Dashboard!$C$2:$AF$61,MATCH(LARGE(Dashboard!$AI$2:$AI$61,$A14),Dashboard!$AI$2:$AI$61,0),COLUMNS($D14:H14)))&amp;"/"&amp;INDEX(Beheer!$B$7:$B$36,COLUMNS($D14:H14)))</f>
        <v>1/10</v>
      </c>
      <c r="I14" s="95" t="str" cm="1">
        <f t="array" ref="I14">IF(OR($A14="",COLUMNS($D14:I14)&gt;Beheer!$C$4),"",N(INDEX(Dashboard!$C$2:$AF$61,MATCH(LARGE(Dashboard!$AI$2:$AI$61,$A14),Dashboard!$AI$2:$AI$61,0),COLUMNS($D14:I14)))&amp;"/"&amp;INDEX(Beheer!$B$7:$B$36,COLUMNS($D14:I14)))</f>
        <v>10/10</v>
      </c>
      <c r="J14" s="95" t="str" cm="1">
        <f t="array" ref="J14">IF(OR($A14="",COLUMNS($D14:J14)&gt;Beheer!$C$4),"",N(INDEX(Dashboard!$C$2:$AF$61,MATCH(LARGE(Dashboard!$AI$2:$AI$61,$A14),Dashboard!$AI$2:$AI$61,0),COLUMNS($D14:J14)))&amp;"/"&amp;INDEX(Beheer!$B$7:$B$36,COLUMNS($D14:J14)))</f>
        <v>7/10</v>
      </c>
      <c r="K14" s="95" t="str" cm="1">
        <f t="array" ref="K14">IF(OR($A14="",COLUMNS($D14:K14)&gt;Beheer!$C$4),"",N(INDEX(Dashboard!$C$2:$AF$61,MATCH(LARGE(Dashboard!$AI$2:$AI$61,$A14),Dashboard!$AI$2:$AI$61,0),COLUMNS($D14:K14)))&amp;"/"&amp;INDEX(Beheer!$B$7:$B$36,COLUMNS($D14:K14)))</f>
        <v>8/15</v>
      </c>
      <c r="L14" s="95" t="str" cm="1">
        <f t="array" ref="L14">IF(OR($A14="",COLUMNS($D14:L14)&gt;Beheer!$C$4),"",N(INDEX(Dashboard!$C$2:$AF$61,MATCH(LARGE(Dashboard!$AI$2:$AI$61,$A14),Dashboard!$AI$2:$AI$61,0),COLUMNS($D14:L14)))&amp;"/"&amp;INDEX(Beheer!$B$7:$B$36,COLUMNS($D14:L14)))</f>
        <v>3/10</v>
      </c>
      <c r="M14" s="95" t="str" cm="1">
        <f t="array" ref="M14">IF(OR($A14="",COLUMNS($D14:M14)&gt;Beheer!$C$4),"",N(INDEX(Dashboard!$C$2:$AF$61,MATCH(LARGE(Dashboard!$AI$2:$AI$61,$A14),Dashboard!$AI$2:$AI$61,0),COLUMNS($D14:M14)))&amp;"/"&amp;INDEX(Beheer!$B$7:$B$36,COLUMNS($D14:M14)))</f>
        <v>9/10</v>
      </c>
      <c r="N14" s="95" t="str" cm="1">
        <f t="array" ref="N14">IF(OR($A14="",COLUMNS($D14:N14)&gt;Beheer!$C$4),"",N(INDEX(Dashboard!$C$2:$AF$61,MATCH(LARGE(Dashboard!$AI$2:$AI$61,$A14),Dashboard!$AI$2:$AI$61,0),COLUMNS($D14:N14)))&amp;"/"&amp;INDEX(Beheer!$B$7:$B$36,COLUMNS($D14:N14)))</f>
        <v>1/5</v>
      </c>
      <c r="O14" s="95" t="str" cm="1">
        <f t="array" ref="O14">IF(OR($A14="",COLUMNS($D14:O14)&gt;Beheer!$C$4),"",N(INDEX(Dashboard!$C$2:$AF$61,MATCH(LARGE(Dashboard!$AI$2:$AI$61,$A14),Dashboard!$AI$2:$AI$61,0),COLUMNS($D14:O14)))&amp;"/"&amp;INDEX(Beheer!$B$7:$B$36,COLUMNS($D14:O14)))</f>
        <v>6/10</v>
      </c>
      <c r="P14" s="95" t="str" cm="1">
        <f t="array" ref="P14">IF(OR($A14="",COLUMNS($D14:P14)&gt;Beheer!$C$4),"",N(INDEX(Dashboard!$C$2:$AF$61,MATCH(LARGE(Dashboard!$AI$2:$AI$61,$A14),Dashboard!$AI$2:$AI$61,0),COLUMNS($D14:P14)))&amp;"/"&amp;INDEX(Beheer!$B$7:$B$36,COLUMNS($D14:P14)))</f>
        <v/>
      </c>
      <c r="Q14" s="95" t="str" cm="1">
        <f t="array" ref="Q14">IF(OR($A14="",COLUMNS($D14:Q14)&gt;Beheer!$C$4),"",N(INDEX(Dashboard!$C$2:$AF$61,MATCH(LARGE(Dashboard!$AI$2:$AI$61,$A14),Dashboard!$AI$2:$AI$61,0),COLUMNS($D14:Q14)))&amp;"/"&amp;INDEX(Beheer!$B$7:$B$36,COLUMNS($D14:Q14)))</f>
        <v/>
      </c>
      <c r="R14" s="95" t="str" cm="1">
        <f t="array" ref="R14">IF(OR($A14="",COLUMNS($D14:R14)&gt;Beheer!$C$4),"",N(INDEX(Dashboard!$C$2:$AF$61,MATCH(LARGE(Dashboard!$AI$2:$AI$61,$A14),Dashboard!$AI$2:$AI$61,0),COLUMNS($D14:R14)))&amp;"/"&amp;INDEX(Beheer!$B$7:$B$36,COLUMNS($D14:R14)))</f>
        <v/>
      </c>
      <c r="S14" s="95" t="str" cm="1">
        <f t="array" ref="S14">IF(OR($A14="",COLUMNS($D14:S14)&gt;Beheer!$C$4),"",N(INDEX(Dashboard!$C$2:$AF$61,MATCH(LARGE(Dashboard!$AI$2:$AI$61,$A14),Dashboard!$AI$2:$AI$61,0),COLUMNS($D14:S14)))&amp;"/"&amp;INDEX(Beheer!$B$7:$B$36,COLUMNS($D14:S14)))</f>
        <v/>
      </c>
      <c r="T14" s="95" t="str" cm="1">
        <f t="array" ref="T14">IF(OR($A14="",COLUMNS($D14:T14)&gt;Beheer!$C$4),"",N(INDEX(Dashboard!$C$2:$AF$61,MATCH(LARGE(Dashboard!$AI$2:$AI$61,$A14),Dashboard!$AI$2:$AI$61,0),COLUMNS($D14:T14)))&amp;"/"&amp;INDEX(Beheer!$B$7:$B$36,COLUMNS($D14:T14)))</f>
        <v/>
      </c>
      <c r="U14" s="95" t="str" cm="1">
        <f t="array" ref="U14">IF(OR($A14="",COLUMNS($D14:U14)&gt;Beheer!$C$4),"",N(INDEX(Dashboard!$C$2:$AF$61,MATCH(LARGE(Dashboard!$AI$2:$AI$61,$A14),Dashboard!$AI$2:$AI$61,0),COLUMNS($D14:U14)))&amp;"/"&amp;INDEX(Beheer!$B$7:$B$36,COLUMNS($D14:U14)))</f>
        <v/>
      </c>
      <c r="V14" s="95" t="str" cm="1">
        <f t="array" ref="V14">IF(OR($A14="",COLUMNS($D14:V14)&gt;Beheer!$C$4),"",N(INDEX(Dashboard!$C$2:$AF$61,MATCH(LARGE(Dashboard!$AI$2:$AI$61,$A14),Dashboard!$AI$2:$AI$61,0),COLUMNS($D14:V14)))&amp;"/"&amp;INDEX(Beheer!$B$7:$B$36,COLUMNS($D14:V14)))</f>
        <v/>
      </c>
      <c r="W14" s="95" t="str" cm="1">
        <f t="array" ref="W14">IF(OR($A14="",COLUMNS($D14:W14)&gt;Beheer!$C$4),"",N(INDEX(Dashboard!$C$2:$AF$61,MATCH(LARGE(Dashboard!$AI$2:$AI$61,$A14),Dashboard!$AI$2:$AI$61,0),COLUMNS($D14:W14)))&amp;"/"&amp;INDEX(Beheer!$B$7:$B$36,COLUMNS($D14:W14)))</f>
        <v/>
      </c>
      <c r="X14" s="95" t="str" cm="1">
        <f t="array" ref="X14">IF(OR($A14="",COLUMNS($D14:X14)&gt;Beheer!$C$4),"",N(INDEX(Dashboard!$C$2:$AF$61,MATCH(LARGE(Dashboard!$AI$2:$AI$61,$A14),Dashboard!$AI$2:$AI$61,0),COLUMNS($D14:X14)))&amp;"/"&amp;INDEX(Beheer!$B$7:$B$36,COLUMNS($D14:X14)))</f>
        <v/>
      </c>
      <c r="Y14" s="95" t="str" cm="1">
        <f t="array" ref="Y14">IF(OR($A14="",COLUMNS($D14:Y14)&gt;Beheer!$C$4),"",N(INDEX(Dashboard!$C$2:$AF$61,MATCH(LARGE(Dashboard!$AI$2:$AI$61,$A14),Dashboard!$AI$2:$AI$61,0),COLUMNS($D14:Y14)))&amp;"/"&amp;INDEX(Beheer!$B$7:$B$36,COLUMNS($D14:Y14)))</f>
        <v/>
      </c>
      <c r="Z14" s="95" t="str" cm="1">
        <f t="array" ref="Z14">IF(OR($A14="",COLUMNS($D14:Z14)&gt;Beheer!$C$4),"",N(INDEX(Dashboard!$C$2:$AF$61,MATCH(LARGE(Dashboard!$AI$2:$AI$61,$A14),Dashboard!$AI$2:$AI$61,0),COLUMNS($D14:Z14)))&amp;"/"&amp;INDEX(Beheer!$B$7:$B$36,COLUMNS($D14:Z14)))</f>
        <v/>
      </c>
      <c r="AA14" s="95" t="str" cm="1">
        <f t="array" ref="AA14">IF(OR($A14="",COLUMNS($D14:AA14)&gt;Beheer!$C$4),"",N(INDEX(Dashboard!$C$2:$AF$61,MATCH(LARGE(Dashboard!$AI$2:$AI$61,$A14),Dashboard!$AI$2:$AI$61,0),COLUMNS($D14:AA14)))&amp;"/"&amp;INDEX(Beheer!$B$7:$B$36,COLUMNS($D14:AA14)))</f>
        <v/>
      </c>
      <c r="AB14" s="95" t="str" cm="1">
        <f t="array" ref="AB14">IF(OR($A14="",COLUMNS($D14:AB14)&gt;Beheer!$C$4),"",N(INDEX(Dashboard!$C$2:$AF$61,MATCH(LARGE(Dashboard!$AI$2:$AI$61,$A14),Dashboard!$AI$2:$AI$61,0),COLUMNS($D14:AB14)))&amp;"/"&amp;INDEX(Beheer!$B$7:$B$36,COLUMNS($D14:AB14)))</f>
        <v/>
      </c>
      <c r="AC14" s="95" t="str" cm="1">
        <f t="array" ref="AC14">IF(OR($A14="",COLUMNS($D14:AC14)&gt;Beheer!$C$4),"",N(INDEX(Dashboard!$C$2:$AF$61,MATCH(LARGE(Dashboard!$AI$2:$AI$61,$A14),Dashboard!$AI$2:$AI$61,0),COLUMNS($D14:AC14)))&amp;"/"&amp;INDEX(Beheer!$B$7:$B$36,COLUMNS($D14:AC14)))</f>
        <v/>
      </c>
      <c r="AD14" s="95" t="str" cm="1">
        <f t="array" ref="AD14">IF(OR($A14="",COLUMNS($D14:AD14)&gt;Beheer!$C$4),"",N(INDEX(Dashboard!$C$2:$AF$61,MATCH(LARGE(Dashboard!$AI$2:$AI$61,$A14),Dashboard!$AI$2:$AI$61,0),COLUMNS($D14:AD14)))&amp;"/"&amp;INDEX(Beheer!$B$7:$B$36,COLUMNS($D14:AD14)))</f>
        <v/>
      </c>
      <c r="AE14" s="95" t="str" cm="1">
        <f t="array" ref="AE14">IF(OR($A14="",COLUMNS($D14:AE14)&gt;Beheer!$C$4),"",N(INDEX(Dashboard!$C$2:$AF$61,MATCH(LARGE(Dashboard!$AI$2:$AI$61,$A14),Dashboard!$AI$2:$AI$61,0),COLUMNS($D14:AE14)))&amp;"/"&amp;INDEX(Beheer!$B$7:$B$36,COLUMNS($D14:AE14)))</f>
        <v/>
      </c>
      <c r="AF14" s="95" t="str" cm="1">
        <f t="array" ref="AF14">IF(OR($A14="",COLUMNS($D14:AF14)&gt;Beheer!$C$4),"",N(INDEX(Dashboard!$C$2:$AF$61,MATCH(LARGE(Dashboard!$AI$2:$AI$61,$A14),Dashboard!$AI$2:$AI$61,0),COLUMNS($D14:AF14)))&amp;"/"&amp;INDEX(Beheer!$B$7:$B$36,COLUMNS($D14:AF14)))</f>
        <v/>
      </c>
      <c r="AG14" s="95" t="str" cm="1">
        <f t="array" ref="AG14">IF(OR($A14="",COLUMNS($D14:AG14)&gt;Beheer!$C$4),"",N(INDEX(Dashboard!$C$2:$AF$61,MATCH(LARGE(Dashboard!$AI$2:$AI$61,$A14),Dashboard!$AI$2:$AI$61,0),COLUMNS($D14:AG14)))&amp;"/"&amp;INDEX(Beheer!$B$7:$B$36,COLUMNS($D14:AG14)))</f>
        <v/>
      </c>
    </row>
    <row r="15" spans="1:33" ht="24" customHeight="1" thickBot="1" x14ac:dyDescent="0.5">
      <c r="A15" s="98">
        <f>IF(ROWS($A$2:A15)&gt;COUNTA(Beheer!$F$7:$F$66),"",ROWS($A$2:A15))</f>
        <v>14</v>
      </c>
      <c r="B15" s="101" t="str">
        <f>IF($A15="","",INDEX(Dashboard!$A$2:$A$61,MATCH(LARGE(Dashboard!$AI$2:$AI$61,$A15),Dashboard!$AI$2:$AI$61,0)))</f>
        <v>De Kletskoppen</v>
      </c>
      <c r="C15" s="96" t="str">
        <f>IF($A15="","",INDEX(Dashboard!$AG$2:$AG$61,MATCH(LARGE(Dashboard!$AI$2:$AI$61,$A15),Dashboard!$AI$2:$AI$61,0))&amp;" / "&amp;INDEX(Dashboard!$AH$2:$AH$61,MATCH(LARGE(Dashboard!$AI$2:$AI$61,$A15),Dashboard!$AI$2:$AI$61,0)))</f>
        <v>72 / 130</v>
      </c>
      <c r="D15" s="97" t="str" cm="1">
        <f t="array" ref="D15">IF(OR($A15="",COLUMNS($D15:D15)&gt;Beheer!$C$4),"",N(INDEX(Dashboard!$C$2:$AF$61,MATCH(LARGE(Dashboard!$AI$2:$AI$61,$A15),Dashboard!$AI$2:$AI$61,0),COLUMNS($D15:D15)))&amp;"/"&amp;INDEX(Beheer!$B$7:$B$36,COLUMNS($D15:D15)))</f>
        <v>1/10</v>
      </c>
      <c r="E15" s="97" t="str" cm="1">
        <f t="array" ref="E15">IF(OR($A15="",COLUMNS($D15:E15)&gt;Beheer!$C$4),"",N(INDEX(Dashboard!$C$2:$AF$61,MATCH(LARGE(Dashboard!$AI$2:$AI$61,$A15),Dashboard!$AI$2:$AI$61,0),COLUMNS($D15:E15)))&amp;"/"&amp;INDEX(Beheer!$B$7:$B$36,COLUMNS($D15:E15)))</f>
        <v>8/10</v>
      </c>
      <c r="F15" s="97" t="str" cm="1">
        <f t="array" ref="F15">IF(OR($A15="",COLUMNS($D15:F15)&gt;Beheer!$C$4),"",N(INDEX(Dashboard!$C$2:$AF$61,MATCH(LARGE(Dashboard!$AI$2:$AI$61,$A15),Dashboard!$AI$2:$AI$61,0),COLUMNS($D15:F15)))&amp;"/"&amp;INDEX(Beheer!$B$7:$B$36,COLUMNS($D15:F15)))</f>
        <v>6/10</v>
      </c>
      <c r="G15" s="97" t="str" cm="1">
        <f t="array" ref="G15">IF(OR($A15="",COLUMNS($D15:G15)&gt;Beheer!$C$4),"",N(INDEX(Dashboard!$C$2:$AF$61,MATCH(LARGE(Dashboard!$AI$2:$AI$61,$A15),Dashboard!$AI$2:$AI$61,0),COLUMNS($D15:G15)))&amp;"/"&amp;INDEX(Beheer!$B$7:$B$36,COLUMNS($D15:G15)))</f>
        <v>5/20</v>
      </c>
      <c r="H15" s="97" t="str" cm="1">
        <f t="array" ref="H15">IF(OR($A15="",COLUMNS($D15:H15)&gt;Beheer!$C$4),"",N(INDEX(Dashboard!$C$2:$AF$61,MATCH(LARGE(Dashboard!$AI$2:$AI$61,$A15),Dashboard!$AI$2:$AI$61,0),COLUMNS($D15:H15)))&amp;"/"&amp;INDEX(Beheer!$B$7:$B$36,COLUMNS($D15:H15)))</f>
        <v>9/10</v>
      </c>
      <c r="I15" s="97" t="str" cm="1">
        <f t="array" ref="I15">IF(OR($A15="",COLUMNS($D15:I15)&gt;Beheer!$C$4),"",N(INDEX(Dashboard!$C$2:$AF$61,MATCH(LARGE(Dashboard!$AI$2:$AI$61,$A15),Dashboard!$AI$2:$AI$61,0),COLUMNS($D15:I15)))&amp;"/"&amp;INDEX(Beheer!$B$7:$B$36,COLUMNS($D15:I15)))</f>
        <v>4/10</v>
      </c>
      <c r="J15" s="97" t="str" cm="1">
        <f t="array" ref="J15">IF(OR($A15="",COLUMNS($D15:J15)&gt;Beheer!$C$4),"",N(INDEX(Dashboard!$C$2:$AF$61,MATCH(LARGE(Dashboard!$AI$2:$AI$61,$A15),Dashboard!$AI$2:$AI$61,0),COLUMNS($D15:J15)))&amp;"/"&amp;INDEX(Beheer!$B$7:$B$36,COLUMNS($D15:J15)))</f>
        <v>6/10</v>
      </c>
      <c r="K15" s="97" t="str" cm="1">
        <f t="array" ref="K15">IF(OR($A15="",COLUMNS($D15:K15)&gt;Beheer!$C$4),"",N(INDEX(Dashboard!$C$2:$AF$61,MATCH(LARGE(Dashboard!$AI$2:$AI$61,$A15),Dashboard!$AI$2:$AI$61,0),COLUMNS($D15:K15)))&amp;"/"&amp;INDEX(Beheer!$B$7:$B$36,COLUMNS($D15:K15)))</f>
        <v>8/15</v>
      </c>
      <c r="L15" s="97" t="str" cm="1">
        <f t="array" ref="L15">IF(OR($A15="",COLUMNS($D15:L15)&gt;Beheer!$C$4),"",N(INDEX(Dashboard!$C$2:$AF$61,MATCH(LARGE(Dashboard!$AI$2:$AI$61,$A15),Dashboard!$AI$2:$AI$61,0),COLUMNS($D15:L15)))&amp;"/"&amp;INDEX(Beheer!$B$7:$B$36,COLUMNS($D15:L15)))</f>
        <v>5/10</v>
      </c>
      <c r="M15" s="97" t="str" cm="1">
        <f t="array" ref="M15">IF(OR($A15="",COLUMNS($D15:M15)&gt;Beheer!$C$4),"",N(INDEX(Dashboard!$C$2:$AF$61,MATCH(LARGE(Dashboard!$AI$2:$AI$61,$A15),Dashboard!$AI$2:$AI$61,0),COLUMNS($D15:M15)))&amp;"/"&amp;INDEX(Beheer!$B$7:$B$36,COLUMNS($D15:M15)))</f>
        <v>10/10</v>
      </c>
      <c r="N15" s="97" t="str" cm="1">
        <f t="array" ref="N15">IF(OR($A15="",COLUMNS($D15:N15)&gt;Beheer!$C$4),"",N(INDEX(Dashboard!$C$2:$AF$61,MATCH(LARGE(Dashboard!$AI$2:$AI$61,$A15),Dashboard!$AI$2:$AI$61,0),COLUMNS($D15:N15)))&amp;"/"&amp;INDEX(Beheer!$B$7:$B$36,COLUMNS($D15:N15)))</f>
        <v>4/5</v>
      </c>
      <c r="O15" s="97" t="str" cm="1">
        <f t="array" ref="O15">IF(OR($A15="",COLUMNS($D15:O15)&gt;Beheer!$C$4),"",N(INDEX(Dashboard!$C$2:$AF$61,MATCH(LARGE(Dashboard!$AI$2:$AI$61,$A15),Dashboard!$AI$2:$AI$61,0),COLUMNS($D15:O15)))&amp;"/"&amp;INDEX(Beheer!$B$7:$B$36,COLUMNS($D15:O15)))</f>
        <v>6/10</v>
      </c>
      <c r="P15" s="97" t="str" cm="1">
        <f t="array" ref="P15">IF(OR($A15="",COLUMNS($D15:P15)&gt;Beheer!$C$4),"",N(INDEX(Dashboard!$C$2:$AF$61,MATCH(LARGE(Dashboard!$AI$2:$AI$61,$A15),Dashboard!$AI$2:$AI$61,0),COLUMNS($D15:P15)))&amp;"/"&amp;INDEX(Beheer!$B$7:$B$36,COLUMNS($D15:P15)))</f>
        <v/>
      </c>
      <c r="Q15" s="97" t="str" cm="1">
        <f t="array" ref="Q15">IF(OR($A15="",COLUMNS($D15:Q15)&gt;Beheer!$C$4),"",N(INDEX(Dashboard!$C$2:$AF$61,MATCH(LARGE(Dashboard!$AI$2:$AI$61,$A15),Dashboard!$AI$2:$AI$61,0),COLUMNS($D15:Q15)))&amp;"/"&amp;INDEX(Beheer!$B$7:$B$36,COLUMNS($D15:Q15)))</f>
        <v/>
      </c>
      <c r="R15" s="97" t="str" cm="1">
        <f t="array" ref="R15">IF(OR($A15="",COLUMNS($D15:R15)&gt;Beheer!$C$4),"",N(INDEX(Dashboard!$C$2:$AF$61,MATCH(LARGE(Dashboard!$AI$2:$AI$61,$A15),Dashboard!$AI$2:$AI$61,0),COLUMNS($D15:R15)))&amp;"/"&amp;INDEX(Beheer!$B$7:$B$36,COLUMNS($D15:R15)))</f>
        <v/>
      </c>
      <c r="S15" s="97" t="str" cm="1">
        <f t="array" ref="S15">IF(OR($A15="",COLUMNS($D15:S15)&gt;Beheer!$C$4),"",N(INDEX(Dashboard!$C$2:$AF$61,MATCH(LARGE(Dashboard!$AI$2:$AI$61,$A15),Dashboard!$AI$2:$AI$61,0),COLUMNS($D15:S15)))&amp;"/"&amp;INDEX(Beheer!$B$7:$B$36,COLUMNS($D15:S15)))</f>
        <v/>
      </c>
      <c r="T15" s="97" t="str" cm="1">
        <f t="array" ref="T15">IF(OR($A15="",COLUMNS($D15:T15)&gt;Beheer!$C$4),"",N(INDEX(Dashboard!$C$2:$AF$61,MATCH(LARGE(Dashboard!$AI$2:$AI$61,$A15),Dashboard!$AI$2:$AI$61,0),COLUMNS($D15:T15)))&amp;"/"&amp;INDEX(Beheer!$B$7:$B$36,COLUMNS($D15:T15)))</f>
        <v/>
      </c>
      <c r="U15" s="97" t="str" cm="1">
        <f t="array" ref="U15">IF(OR($A15="",COLUMNS($D15:U15)&gt;Beheer!$C$4),"",N(INDEX(Dashboard!$C$2:$AF$61,MATCH(LARGE(Dashboard!$AI$2:$AI$61,$A15),Dashboard!$AI$2:$AI$61,0),COLUMNS($D15:U15)))&amp;"/"&amp;INDEX(Beheer!$B$7:$B$36,COLUMNS($D15:U15)))</f>
        <v/>
      </c>
      <c r="V15" s="97" t="str" cm="1">
        <f t="array" ref="V15">IF(OR($A15="",COLUMNS($D15:V15)&gt;Beheer!$C$4),"",N(INDEX(Dashboard!$C$2:$AF$61,MATCH(LARGE(Dashboard!$AI$2:$AI$61,$A15),Dashboard!$AI$2:$AI$61,0),COLUMNS($D15:V15)))&amp;"/"&amp;INDEX(Beheer!$B$7:$B$36,COLUMNS($D15:V15)))</f>
        <v/>
      </c>
      <c r="W15" s="97" t="str" cm="1">
        <f t="array" ref="W15">IF(OR($A15="",COLUMNS($D15:W15)&gt;Beheer!$C$4),"",N(INDEX(Dashboard!$C$2:$AF$61,MATCH(LARGE(Dashboard!$AI$2:$AI$61,$A15),Dashboard!$AI$2:$AI$61,0),COLUMNS($D15:W15)))&amp;"/"&amp;INDEX(Beheer!$B$7:$B$36,COLUMNS($D15:W15)))</f>
        <v/>
      </c>
      <c r="X15" s="97" t="str" cm="1">
        <f t="array" ref="X15">IF(OR($A15="",COLUMNS($D15:X15)&gt;Beheer!$C$4),"",N(INDEX(Dashboard!$C$2:$AF$61,MATCH(LARGE(Dashboard!$AI$2:$AI$61,$A15),Dashboard!$AI$2:$AI$61,0),COLUMNS($D15:X15)))&amp;"/"&amp;INDEX(Beheer!$B$7:$B$36,COLUMNS($D15:X15)))</f>
        <v/>
      </c>
      <c r="Y15" s="97" t="str" cm="1">
        <f t="array" ref="Y15">IF(OR($A15="",COLUMNS($D15:Y15)&gt;Beheer!$C$4),"",N(INDEX(Dashboard!$C$2:$AF$61,MATCH(LARGE(Dashboard!$AI$2:$AI$61,$A15),Dashboard!$AI$2:$AI$61,0),COLUMNS($D15:Y15)))&amp;"/"&amp;INDEX(Beheer!$B$7:$B$36,COLUMNS($D15:Y15)))</f>
        <v/>
      </c>
      <c r="Z15" s="97" t="str" cm="1">
        <f t="array" ref="Z15">IF(OR($A15="",COLUMNS($D15:Z15)&gt;Beheer!$C$4),"",N(INDEX(Dashboard!$C$2:$AF$61,MATCH(LARGE(Dashboard!$AI$2:$AI$61,$A15),Dashboard!$AI$2:$AI$61,0),COLUMNS($D15:Z15)))&amp;"/"&amp;INDEX(Beheer!$B$7:$B$36,COLUMNS($D15:Z15)))</f>
        <v/>
      </c>
      <c r="AA15" s="97" t="str" cm="1">
        <f t="array" ref="AA15">IF(OR($A15="",COLUMNS($D15:AA15)&gt;Beheer!$C$4),"",N(INDEX(Dashboard!$C$2:$AF$61,MATCH(LARGE(Dashboard!$AI$2:$AI$61,$A15),Dashboard!$AI$2:$AI$61,0),COLUMNS($D15:AA15)))&amp;"/"&amp;INDEX(Beheer!$B$7:$B$36,COLUMNS($D15:AA15)))</f>
        <v/>
      </c>
      <c r="AB15" s="97" t="str" cm="1">
        <f t="array" ref="AB15">IF(OR($A15="",COLUMNS($D15:AB15)&gt;Beheer!$C$4),"",N(INDEX(Dashboard!$C$2:$AF$61,MATCH(LARGE(Dashboard!$AI$2:$AI$61,$A15),Dashboard!$AI$2:$AI$61,0),COLUMNS($D15:AB15)))&amp;"/"&amp;INDEX(Beheer!$B$7:$B$36,COLUMNS($D15:AB15)))</f>
        <v/>
      </c>
      <c r="AC15" s="97" t="str" cm="1">
        <f t="array" ref="AC15">IF(OR($A15="",COLUMNS($D15:AC15)&gt;Beheer!$C$4),"",N(INDEX(Dashboard!$C$2:$AF$61,MATCH(LARGE(Dashboard!$AI$2:$AI$61,$A15),Dashboard!$AI$2:$AI$61,0),COLUMNS($D15:AC15)))&amp;"/"&amp;INDEX(Beheer!$B$7:$B$36,COLUMNS($D15:AC15)))</f>
        <v/>
      </c>
      <c r="AD15" s="97" t="str" cm="1">
        <f t="array" ref="AD15">IF(OR($A15="",COLUMNS($D15:AD15)&gt;Beheer!$C$4),"",N(INDEX(Dashboard!$C$2:$AF$61,MATCH(LARGE(Dashboard!$AI$2:$AI$61,$A15),Dashboard!$AI$2:$AI$61,0),COLUMNS($D15:AD15)))&amp;"/"&amp;INDEX(Beheer!$B$7:$B$36,COLUMNS($D15:AD15)))</f>
        <v/>
      </c>
      <c r="AE15" s="97" t="str" cm="1">
        <f t="array" ref="AE15">IF(OR($A15="",COLUMNS($D15:AE15)&gt;Beheer!$C$4),"",N(INDEX(Dashboard!$C$2:$AF$61,MATCH(LARGE(Dashboard!$AI$2:$AI$61,$A15),Dashboard!$AI$2:$AI$61,0),COLUMNS($D15:AE15)))&amp;"/"&amp;INDEX(Beheer!$B$7:$B$36,COLUMNS($D15:AE15)))</f>
        <v/>
      </c>
      <c r="AF15" s="97" t="str" cm="1">
        <f t="array" ref="AF15">IF(OR($A15="",COLUMNS($D15:AF15)&gt;Beheer!$C$4),"",N(INDEX(Dashboard!$C$2:$AF$61,MATCH(LARGE(Dashboard!$AI$2:$AI$61,$A15),Dashboard!$AI$2:$AI$61,0),COLUMNS($D15:AF15)))&amp;"/"&amp;INDEX(Beheer!$B$7:$B$36,COLUMNS($D15:AF15)))</f>
        <v/>
      </c>
      <c r="AG15" s="97" t="str" cm="1">
        <f t="array" ref="AG15">IF(OR($A15="",COLUMNS($D15:AG15)&gt;Beheer!$C$4),"",N(INDEX(Dashboard!$C$2:$AF$61,MATCH(LARGE(Dashboard!$AI$2:$AI$61,$A15),Dashboard!$AI$2:$AI$61,0),COLUMNS($D15:AG15)))&amp;"/"&amp;INDEX(Beheer!$B$7:$B$36,COLUMNS($D15:AG15)))</f>
        <v/>
      </c>
    </row>
    <row r="16" spans="1:33" ht="24" customHeight="1" thickBot="1" x14ac:dyDescent="0.5">
      <c r="A16" s="99">
        <f>IF(ROWS($A$2:A16)&gt;COUNTA(Beheer!$F$7:$F$66),"",ROWS($A$2:A16))</f>
        <v>15</v>
      </c>
      <c r="B16" s="102" t="str">
        <f>IF($A16="","",INDEX(Dashboard!$A$2:$A$61,MATCH(LARGE(Dashboard!$AI$2:$AI$61,$A16),Dashboard!$AI$2:$AI$61,0)))</f>
        <v>Stoempers United</v>
      </c>
      <c r="C16" s="94" t="str">
        <f>IF($A16="","",INDEX(Dashboard!$AG$2:$AG$61,MATCH(LARGE(Dashboard!$AI$2:$AI$61,$A16),Dashboard!$AI$2:$AI$61,0))&amp;" / "&amp;INDEX(Dashboard!$AH$2:$AH$61,MATCH(LARGE(Dashboard!$AI$2:$AI$61,$A16),Dashboard!$AI$2:$AI$61,0)))</f>
        <v>71 / 130</v>
      </c>
      <c r="D16" s="95" t="str" cm="1">
        <f t="array" ref="D16">IF(OR($A16="",COLUMNS($D16:D16)&gt;Beheer!$C$4),"",N(INDEX(Dashboard!$C$2:$AF$61,MATCH(LARGE(Dashboard!$AI$2:$AI$61,$A16),Dashboard!$AI$2:$AI$61,0),COLUMNS($D16:D16)))&amp;"/"&amp;INDEX(Beheer!$B$7:$B$36,COLUMNS($D16:D16)))</f>
        <v>5/10</v>
      </c>
      <c r="E16" s="95" t="str" cm="1">
        <f t="array" ref="E16">IF(OR($A16="",COLUMNS($D16:E16)&gt;Beheer!$C$4),"",N(INDEX(Dashboard!$C$2:$AF$61,MATCH(LARGE(Dashboard!$AI$2:$AI$61,$A16),Dashboard!$AI$2:$AI$61,0),COLUMNS($D16:E16)))&amp;"/"&amp;INDEX(Beheer!$B$7:$B$36,COLUMNS($D16:E16)))</f>
        <v>1/10</v>
      </c>
      <c r="F16" s="95" t="str" cm="1">
        <f t="array" ref="F16">IF(OR($A16="",COLUMNS($D16:F16)&gt;Beheer!$C$4),"",N(INDEX(Dashboard!$C$2:$AF$61,MATCH(LARGE(Dashboard!$AI$2:$AI$61,$A16),Dashboard!$AI$2:$AI$61,0),COLUMNS($D16:F16)))&amp;"/"&amp;INDEX(Beheer!$B$7:$B$36,COLUMNS($D16:F16)))</f>
        <v>9/10</v>
      </c>
      <c r="G16" s="95" t="str" cm="1">
        <f t="array" ref="G16">IF(OR($A16="",COLUMNS($D16:G16)&gt;Beheer!$C$4),"",N(INDEX(Dashboard!$C$2:$AF$61,MATCH(LARGE(Dashboard!$AI$2:$AI$61,$A16),Dashboard!$AI$2:$AI$61,0),COLUMNS($D16:G16)))&amp;"/"&amp;INDEX(Beheer!$B$7:$B$36,COLUMNS($D16:G16)))</f>
        <v>8/20</v>
      </c>
      <c r="H16" s="95" t="str" cm="1">
        <f t="array" ref="H16">IF(OR($A16="",COLUMNS($D16:H16)&gt;Beheer!$C$4),"",N(INDEX(Dashboard!$C$2:$AF$61,MATCH(LARGE(Dashboard!$AI$2:$AI$61,$A16),Dashboard!$AI$2:$AI$61,0),COLUMNS($D16:H16)))&amp;"/"&amp;INDEX(Beheer!$B$7:$B$36,COLUMNS($D16:H16)))</f>
        <v>9/10</v>
      </c>
      <c r="I16" s="95" t="str" cm="1">
        <f t="array" ref="I16">IF(OR($A16="",COLUMNS($D16:I16)&gt;Beheer!$C$4),"",N(INDEX(Dashboard!$C$2:$AF$61,MATCH(LARGE(Dashboard!$AI$2:$AI$61,$A16),Dashboard!$AI$2:$AI$61,0),COLUMNS($D16:I16)))&amp;"/"&amp;INDEX(Beheer!$B$7:$B$36,COLUMNS($D16:I16)))</f>
        <v>7/10</v>
      </c>
      <c r="J16" s="95" t="str" cm="1">
        <f t="array" ref="J16">IF(OR($A16="",COLUMNS($D16:J16)&gt;Beheer!$C$4),"",N(INDEX(Dashboard!$C$2:$AF$61,MATCH(LARGE(Dashboard!$AI$2:$AI$61,$A16),Dashboard!$AI$2:$AI$61,0),COLUMNS($D16:J16)))&amp;"/"&amp;INDEX(Beheer!$B$7:$B$36,COLUMNS($D16:J16)))</f>
        <v>8/10</v>
      </c>
      <c r="K16" s="95" t="str" cm="1">
        <f t="array" ref="K16">IF(OR($A16="",COLUMNS($D16:K16)&gt;Beheer!$C$4),"",N(INDEX(Dashboard!$C$2:$AF$61,MATCH(LARGE(Dashboard!$AI$2:$AI$61,$A16),Dashboard!$AI$2:$AI$61,0),COLUMNS($D16:K16)))&amp;"/"&amp;INDEX(Beheer!$B$7:$B$36,COLUMNS($D16:K16)))</f>
        <v>5/15</v>
      </c>
      <c r="L16" s="95" t="str" cm="1">
        <f t="array" ref="L16">IF(OR($A16="",COLUMNS($D16:L16)&gt;Beheer!$C$4),"",N(INDEX(Dashboard!$C$2:$AF$61,MATCH(LARGE(Dashboard!$AI$2:$AI$61,$A16),Dashboard!$AI$2:$AI$61,0),COLUMNS($D16:L16)))&amp;"/"&amp;INDEX(Beheer!$B$7:$B$36,COLUMNS($D16:L16)))</f>
        <v>4/10</v>
      </c>
      <c r="M16" s="95" t="str" cm="1">
        <f t="array" ref="M16">IF(OR($A16="",COLUMNS($D16:M16)&gt;Beheer!$C$4),"",N(INDEX(Dashboard!$C$2:$AF$61,MATCH(LARGE(Dashboard!$AI$2:$AI$61,$A16),Dashboard!$AI$2:$AI$61,0),COLUMNS($D16:M16)))&amp;"/"&amp;INDEX(Beheer!$B$7:$B$36,COLUMNS($D16:M16)))</f>
        <v>3/10</v>
      </c>
      <c r="N16" s="95" t="str" cm="1">
        <f t="array" ref="N16">IF(OR($A16="",COLUMNS($D16:N16)&gt;Beheer!$C$4),"",N(INDEX(Dashboard!$C$2:$AF$61,MATCH(LARGE(Dashboard!$AI$2:$AI$61,$A16),Dashboard!$AI$2:$AI$61,0),COLUMNS($D16:N16)))&amp;"/"&amp;INDEX(Beheer!$B$7:$B$36,COLUMNS($D16:N16)))</f>
        <v>3/5</v>
      </c>
      <c r="O16" s="95" t="str" cm="1">
        <f t="array" ref="O16">IF(OR($A16="",COLUMNS($D16:O16)&gt;Beheer!$C$4),"",N(INDEX(Dashboard!$C$2:$AF$61,MATCH(LARGE(Dashboard!$AI$2:$AI$61,$A16),Dashboard!$AI$2:$AI$61,0),COLUMNS($D16:O16)))&amp;"/"&amp;INDEX(Beheer!$B$7:$B$36,COLUMNS($D16:O16)))</f>
        <v>9/10</v>
      </c>
      <c r="P16" s="95" t="str" cm="1">
        <f t="array" ref="P16">IF(OR($A16="",COLUMNS($D16:P16)&gt;Beheer!$C$4),"",N(INDEX(Dashboard!$C$2:$AF$61,MATCH(LARGE(Dashboard!$AI$2:$AI$61,$A16),Dashboard!$AI$2:$AI$61,0),COLUMNS($D16:P16)))&amp;"/"&amp;INDEX(Beheer!$B$7:$B$36,COLUMNS($D16:P16)))</f>
        <v/>
      </c>
      <c r="Q16" s="95" t="str" cm="1">
        <f t="array" ref="Q16">IF(OR($A16="",COLUMNS($D16:Q16)&gt;Beheer!$C$4),"",N(INDEX(Dashboard!$C$2:$AF$61,MATCH(LARGE(Dashboard!$AI$2:$AI$61,$A16),Dashboard!$AI$2:$AI$61,0),COLUMNS($D16:Q16)))&amp;"/"&amp;INDEX(Beheer!$B$7:$B$36,COLUMNS($D16:Q16)))</f>
        <v/>
      </c>
      <c r="R16" s="95" t="str" cm="1">
        <f t="array" ref="R16">IF(OR($A16="",COLUMNS($D16:R16)&gt;Beheer!$C$4),"",N(INDEX(Dashboard!$C$2:$AF$61,MATCH(LARGE(Dashboard!$AI$2:$AI$61,$A16),Dashboard!$AI$2:$AI$61,0),COLUMNS($D16:R16)))&amp;"/"&amp;INDEX(Beheer!$B$7:$B$36,COLUMNS($D16:R16)))</f>
        <v/>
      </c>
      <c r="S16" s="95" t="str" cm="1">
        <f t="array" ref="S16">IF(OR($A16="",COLUMNS($D16:S16)&gt;Beheer!$C$4),"",N(INDEX(Dashboard!$C$2:$AF$61,MATCH(LARGE(Dashboard!$AI$2:$AI$61,$A16),Dashboard!$AI$2:$AI$61,0),COLUMNS($D16:S16)))&amp;"/"&amp;INDEX(Beheer!$B$7:$B$36,COLUMNS($D16:S16)))</f>
        <v/>
      </c>
      <c r="T16" s="95" t="str" cm="1">
        <f t="array" ref="T16">IF(OR($A16="",COLUMNS($D16:T16)&gt;Beheer!$C$4),"",N(INDEX(Dashboard!$C$2:$AF$61,MATCH(LARGE(Dashboard!$AI$2:$AI$61,$A16),Dashboard!$AI$2:$AI$61,0),COLUMNS($D16:T16)))&amp;"/"&amp;INDEX(Beheer!$B$7:$B$36,COLUMNS($D16:T16)))</f>
        <v/>
      </c>
      <c r="U16" s="95" t="str" cm="1">
        <f t="array" ref="U16">IF(OR($A16="",COLUMNS($D16:U16)&gt;Beheer!$C$4),"",N(INDEX(Dashboard!$C$2:$AF$61,MATCH(LARGE(Dashboard!$AI$2:$AI$61,$A16),Dashboard!$AI$2:$AI$61,0),COLUMNS($D16:U16)))&amp;"/"&amp;INDEX(Beheer!$B$7:$B$36,COLUMNS($D16:U16)))</f>
        <v/>
      </c>
      <c r="V16" s="95" t="str" cm="1">
        <f t="array" ref="V16">IF(OR($A16="",COLUMNS($D16:V16)&gt;Beheer!$C$4),"",N(INDEX(Dashboard!$C$2:$AF$61,MATCH(LARGE(Dashboard!$AI$2:$AI$61,$A16),Dashboard!$AI$2:$AI$61,0),COLUMNS($D16:V16)))&amp;"/"&amp;INDEX(Beheer!$B$7:$B$36,COLUMNS($D16:V16)))</f>
        <v/>
      </c>
      <c r="W16" s="95" t="str" cm="1">
        <f t="array" ref="W16">IF(OR($A16="",COLUMNS($D16:W16)&gt;Beheer!$C$4),"",N(INDEX(Dashboard!$C$2:$AF$61,MATCH(LARGE(Dashboard!$AI$2:$AI$61,$A16),Dashboard!$AI$2:$AI$61,0),COLUMNS($D16:W16)))&amp;"/"&amp;INDEX(Beheer!$B$7:$B$36,COLUMNS($D16:W16)))</f>
        <v/>
      </c>
      <c r="X16" s="95" t="str" cm="1">
        <f t="array" ref="X16">IF(OR($A16="",COLUMNS($D16:X16)&gt;Beheer!$C$4),"",N(INDEX(Dashboard!$C$2:$AF$61,MATCH(LARGE(Dashboard!$AI$2:$AI$61,$A16),Dashboard!$AI$2:$AI$61,0),COLUMNS($D16:X16)))&amp;"/"&amp;INDEX(Beheer!$B$7:$B$36,COLUMNS($D16:X16)))</f>
        <v/>
      </c>
      <c r="Y16" s="95" t="str" cm="1">
        <f t="array" ref="Y16">IF(OR($A16="",COLUMNS($D16:Y16)&gt;Beheer!$C$4),"",N(INDEX(Dashboard!$C$2:$AF$61,MATCH(LARGE(Dashboard!$AI$2:$AI$61,$A16),Dashboard!$AI$2:$AI$61,0),COLUMNS($D16:Y16)))&amp;"/"&amp;INDEX(Beheer!$B$7:$B$36,COLUMNS($D16:Y16)))</f>
        <v/>
      </c>
      <c r="Z16" s="95" t="str" cm="1">
        <f t="array" ref="Z16">IF(OR($A16="",COLUMNS($D16:Z16)&gt;Beheer!$C$4),"",N(INDEX(Dashboard!$C$2:$AF$61,MATCH(LARGE(Dashboard!$AI$2:$AI$61,$A16),Dashboard!$AI$2:$AI$61,0),COLUMNS($D16:Z16)))&amp;"/"&amp;INDEX(Beheer!$B$7:$B$36,COLUMNS($D16:Z16)))</f>
        <v/>
      </c>
      <c r="AA16" s="95" t="str" cm="1">
        <f t="array" ref="AA16">IF(OR($A16="",COLUMNS($D16:AA16)&gt;Beheer!$C$4),"",N(INDEX(Dashboard!$C$2:$AF$61,MATCH(LARGE(Dashboard!$AI$2:$AI$61,$A16),Dashboard!$AI$2:$AI$61,0),COLUMNS($D16:AA16)))&amp;"/"&amp;INDEX(Beheer!$B$7:$B$36,COLUMNS($D16:AA16)))</f>
        <v/>
      </c>
      <c r="AB16" s="95" t="str" cm="1">
        <f t="array" ref="AB16">IF(OR($A16="",COLUMNS($D16:AB16)&gt;Beheer!$C$4),"",N(INDEX(Dashboard!$C$2:$AF$61,MATCH(LARGE(Dashboard!$AI$2:$AI$61,$A16),Dashboard!$AI$2:$AI$61,0),COLUMNS($D16:AB16)))&amp;"/"&amp;INDEX(Beheer!$B$7:$B$36,COLUMNS($D16:AB16)))</f>
        <v/>
      </c>
      <c r="AC16" s="95" t="str" cm="1">
        <f t="array" ref="AC16">IF(OR($A16="",COLUMNS($D16:AC16)&gt;Beheer!$C$4),"",N(INDEX(Dashboard!$C$2:$AF$61,MATCH(LARGE(Dashboard!$AI$2:$AI$61,$A16),Dashboard!$AI$2:$AI$61,0),COLUMNS($D16:AC16)))&amp;"/"&amp;INDEX(Beheer!$B$7:$B$36,COLUMNS($D16:AC16)))</f>
        <v/>
      </c>
      <c r="AD16" s="95" t="str" cm="1">
        <f t="array" ref="AD16">IF(OR($A16="",COLUMNS($D16:AD16)&gt;Beheer!$C$4),"",N(INDEX(Dashboard!$C$2:$AF$61,MATCH(LARGE(Dashboard!$AI$2:$AI$61,$A16),Dashboard!$AI$2:$AI$61,0),COLUMNS($D16:AD16)))&amp;"/"&amp;INDEX(Beheer!$B$7:$B$36,COLUMNS($D16:AD16)))</f>
        <v/>
      </c>
      <c r="AE16" s="95" t="str" cm="1">
        <f t="array" ref="AE16">IF(OR($A16="",COLUMNS($D16:AE16)&gt;Beheer!$C$4),"",N(INDEX(Dashboard!$C$2:$AF$61,MATCH(LARGE(Dashboard!$AI$2:$AI$61,$A16),Dashboard!$AI$2:$AI$61,0),COLUMNS($D16:AE16)))&amp;"/"&amp;INDEX(Beheer!$B$7:$B$36,COLUMNS($D16:AE16)))</f>
        <v/>
      </c>
      <c r="AF16" s="95" t="str" cm="1">
        <f t="array" ref="AF16">IF(OR($A16="",COLUMNS($D16:AF16)&gt;Beheer!$C$4),"",N(INDEX(Dashboard!$C$2:$AF$61,MATCH(LARGE(Dashboard!$AI$2:$AI$61,$A16),Dashboard!$AI$2:$AI$61,0),COLUMNS($D16:AF16)))&amp;"/"&amp;INDEX(Beheer!$B$7:$B$36,COLUMNS($D16:AF16)))</f>
        <v/>
      </c>
      <c r="AG16" s="95" t="str" cm="1">
        <f t="array" ref="AG16">IF(OR($A16="",COLUMNS($D16:AG16)&gt;Beheer!$C$4),"",N(INDEX(Dashboard!$C$2:$AF$61,MATCH(LARGE(Dashboard!$AI$2:$AI$61,$A16),Dashboard!$AI$2:$AI$61,0),COLUMNS($D16:AG16)))&amp;"/"&amp;INDEX(Beheer!$B$7:$B$36,COLUMNS($D16:AG16)))</f>
        <v/>
      </c>
    </row>
    <row r="17" spans="1:33" ht="24" customHeight="1" thickBot="1" x14ac:dyDescent="0.5">
      <c r="A17" s="98">
        <f>IF(ROWS($A$2:A17)&gt;COUNTA(Beheer!$F$7:$F$66),"",ROWS($A$2:A17))</f>
        <v>16</v>
      </c>
      <c r="B17" s="101" t="str">
        <f>IF($A17="","",INDEX(Dashboard!$A$2:$A$61,MATCH(LARGE(Dashboard!$AI$2:$AI$61,$A17),Dashboard!$AI$2:$AI$61,0)))</f>
        <v>De Wafelijzers</v>
      </c>
      <c r="C17" s="96" t="str">
        <f>IF($A17="","",INDEX(Dashboard!$AG$2:$AG$61,MATCH(LARGE(Dashboard!$AI$2:$AI$61,$A17),Dashboard!$AI$2:$AI$61,0))&amp;" / "&amp;INDEX(Dashboard!$AH$2:$AH$61,MATCH(LARGE(Dashboard!$AI$2:$AI$61,$A17),Dashboard!$AI$2:$AI$61,0)))</f>
        <v>68 / 130</v>
      </c>
      <c r="D17" s="97" t="str" cm="1">
        <f t="array" ref="D17">IF(OR($A17="",COLUMNS($D17:D17)&gt;Beheer!$C$4),"",N(INDEX(Dashboard!$C$2:$AF$61,MATCH(LARGE(Dashboard!$AI$2:$AI$61,$A17),Dashboard!$AI$2:$AI$61,0),COLUMNS($D17:D17)))&amp;"/"&amp;INDEX(Beheer!$B$7:$B$36,COLUMNS($D17:D17)))</f>
        <v>4/10</v>
      </c>
      <c r="E17" s="97" t="str" cm="1">
        <f t="array" ref="E17">IF(OR($A17="",COLUMNS($D17:E17)&gt;Beheer!$C$4),"",N(INDEX(Dashboard!$C$2:$AF$61,MATCH(LARGE(Dashboard!$AI$2:$AI$61,$A17),Dashboard!$AI$2:$AI$61,0),COLUMNS($D17:E17)))&amp;"/"&amp;INDEX(Beheer!$B$7:$B$36,COLUMNS($D17:E17)))</f>
        <v>8/10</v>
      </c>
      <c r="F17" s="97" t="str" cm="1">
        <f t="array" ref="F17">IF(OR($A17="",COLUMNS($D17:F17)&gt;Beheer!$C$4),"",N(INDEX(Dashboard!$C$2:$AF$61,MATCH(LARGE(Dashboard!$AI$2:$AI$61,$A17),Dashboard!$AI$2:$AI$61,0),COLUMNS($D17:F17)))&amp;"/"&amp;INDEX(Beheer!$B$7:$B$36,COLUMNS($D17:F17)))</f>
        <v>4/10</v>
      </c>
      <c r="G17" s="97" t="str" cm="1">
        <f t="array" ref="G17">IF(OR($A17="",COLUMNS($D17:G17)&gt;Beheer!$C$4),"",N(INDEX(Dashboard!$C$2:$AF$61,MATCH(LARGE(Dashboard!$AI$2:$AI$61,$A17),Dashboard!$AI$2:$AI$61,0),COLUMNS($D17:G17)))&amp;"/"&amp;INDEX(Beheer!$B$7:$B$36,COLUMNS($D17:G17)))</f>
        <v>18/20</v>
      </c>
      <c r="H17" s="97" t="str" cm="1">
        <f t="array" ref="H17">IF(OR($A17="",COLUMNS($D17:H17)&gt;Beheer!$C$4),"",N(INDEX(Dashboard!$C$2:$AF$61,MATCH(LARGE(Dashboard!$AI$2:$AI$61,$A17),Dashboard!$AI$2:$AI$61,0),COLUMNS($D17:H17)))&amp;"/"&amp;INDEX(Beheer!$B$7:$B$36,COLUMNS($D17:H17)))</f>
        <v>1/10</v>
      </c>
      <c r="I17" s="97" t="str" cm="1">
        <f t="array" ref="I17">IF(OR($A17="",COLUMNS($D17:I17)&gt;Beheer!$C$4),"",N(INDEX(Dashboard!$C$2:$AF$61,MATCH(LARGE(Dashboard!$AI$2:$AI$61,$A17),Dashboard!$AI$2:$AI$61,0),COLUMNS($D17:I17)))&amp;"/"&amp;INDEX(Beheer!$B$7:$B$36,COLUMNS($D17:I17)))</f>
        <v>5/10</v>
      </c>
      <c r="J17" s="97" t="str" cm="1">
        <f t="array" ref="J17">IF(OR($A17="",COLUMNS($D17:J17)&gt;Beheer!$C$4),"",N(INDEX(Dashboard!$C$2:$AF$61,MATCH(LARGE(Dashboard!$AI$2:$AI$61,$A17),Dashboard!$AI$2:$AI$61,0),COLUMNS($D17:J17)))&amp;"/"&amp;INDEX(Beheer!$B$7:$B$36,COLUMNS($D17:J17)))</f>
        <v>3/10</v>
      </c>
      <c r="K17" s="97" t="str" cm="1">
        <f t="array" ref="K17">IF(OR($A17="",COLUMNS($D17:K17)&gt;Beheer!$C$4),"",N(INDEX(Dashboard!$C$2:$AF$61,MATCH(LARGE(Dashboard!$AI$2:$AI$61,$A17),Dashboard!$AI$2:$AI$61,0),COLUMNS($D17:K17)))&amp;"/"&amp;INDEX(Beheer!$B$7:$B$36,COLUMNS($D17:K17)))</f>
        <v>12/15</v>
      </c>
      <c r="L17" s="97" t="str" cm="1">
        <f t="array" ref="L17">IF(OR($A17="",COLUMNS($D17:L17)&gt;Beheer!$C$4),"",N(INDEX(Dashboard!$C$2:$AF$61,MATCH(LARGE(Dashboard!$AI$2:$AI$61,$A17),Dashboard!$AI$2:$AI$61,0),COLUMNS($D17:L17)))&amp;"/"&amp;INDEX(Beheer!$B$7:$B$36,COLUMNS($D17:L17)))</f>
        <v>2/10</v>
      </c>
      <c r="M17" s="97" t="str" cm="1">
        <f t="array" ref="M17">IF(OR($A17="",COLUMNS($D17:M17)&gt;Beheer!$C$4),"",N(INDEX(Dashboard!$C$2:$AF$61,MATCH(LARGE(Dashboard!$AI$2:$AI$61,$A17),Dashboard!$AI$2:$AI$61,0),COLUMNS($D17:M17)))&amp;"/"&amp;INDEX(Beheer!$B$7:$B$36,COLUMNS($D17:M17)))</f>
        <v>2/10</v>
      </c>
      <c r="N17" s="97" t="str" cm="1">
        <f t="array" ref="N17">IF(OR($A17="",COLUMNS($D17:N17)&gt;Beheer!$C$4),"",N(INDEX(Dashboard!$C$2:$AF$61,MATCH(LARGE(Dashboard!$AI$2:$AI$61,$A17),Dashboard!$AI$2:$AI$61,0),COLUMNS($D17:N17)))&amp;"/"&amp;INDEX(Beheer!$B$7:$B$36,COLUMNS($D17:N17)))</f>
        <v>1/5</v>
      </c>
      <c r="O17" s="97" t="str" cm="1">
        <f t="array" ref="O17">IF(OR($A17="",COLUMNS($D17:O17)&gt;Beheer!$C$4),"",N(INDEX(Dashboard!$C$2:$AF$61,MATCH(LARGE(Dashboard!$AI$2:$AI$61,$A17),Dashboard!$AI$2:$AI$61,0),COLUMNS($D17:O17)))&amp;"/"&amp;INDEX(Beheer!$B$7:$B$36,COLUMNS($D17:O17)))</f>
        <v>8/10</v>
      </c>
      <c r="P17" s="97" t="str" cm="1">
        <f t="array" ref="P17">IF(OR($A17="",COLUMNS($D17:P17)&gt;Beheer!$C$4),"",N(INDEX(Dashboard!$C$2:$AF$61,MATCH(LARGE(Dashboard!$AI$2:$AI$61,$A17),Dashboard!$AI$2:$AI$61,0),COLUMNS($D17:P17)))&amp;"/"&amp;INDEX(Beheer!$B$7:$B$36,COLUMNS($D17:P17)))</f>
        <v/>
      </c>
      <c r="Q17" s="97" t="str" cm="1">
        <f t="array" ref="Q17">IF(OR($A17="",COLUMNS($D17:Q17)&gt;Beheer!$C$4),"",N(INDEX(Dashboard!$C$2:$AF$61,MATCH(LARGE(Dashboard!$AI$2:$AI$61,$A17),Dashboard!$AI$2:$AI$61,0),COLUMNS($D17:Q17)))&amp;"/"&amp;INDEX(Beheer!$B$7:$B$36,COLUMNS($D17:Q17)))</f>
        <v/>
      </c>
      <c r="R17" s="97" t="str" cm="1">
        <f t="array" ref="R17">IF(OR($A17="",COLUMNS($D17:R17)&gt;Beheer!$C$4),"",N(INDEX(Dashboard!$C$2:$AF$61,MATCH(LARGE(Dashboard!$AI$2:$AI$61,$A17),Dashboard!$AI$2:$AI$61,0),COLUMNS($D17:R17)))&amp;"/"&amp;INDEX(Beheer!$B$7:$B$36,COLUMNS($D17:R17)))</f>
        <v/>
      </c>
      <c r="S17" s="97" t="str" cm="1">
        <f t="array" ref="S17">IF(OR($A17="",COLUMNS($D17:S17)&gt;Beheer!$C$4),"",N(INDEX(Dashboard!$C$2:$AF$61,MATCH(LARGE(Dashboard!$AI$2:$AI$61,$A17),Dashboard!$AI$2:$AI$61,0),COLUMNS($D17:S17)))&amp;"/"&amp;INDEX(Beheer!$B$7:$B$36,COLUMNS($D17:S17)))</f>
        <v/>
      </c>
      <c r="T17" s="97" t="str" cm="1">
        <f t="array" ref="T17">IF(OR($A17="",COLUMNS($D17:T17)&gt;Beheer!$C$4),"",N(INDEX(Dashboard!$C$2:$AF$61,MATCH(LARGE(Dashboard!$AI$2:$AI$61,$A17),Dashboard!$AI$2:$AI$61,0),COLUMNS($D17:T17)))&amp;"/"&amp;INDEX(Beheer!$B$7:$B$36,COLUMNS($D17:T17)))</f>
        <v/>
      </c>
      <c r="U17" s="97" t="str" cm="1">
        <f t="array" ref="U17">IF(OR($A17="",COLUMNS($D17:U17)&gt;Beheer!$C$4),"",N(INDEX(Dashboard!$C$2:$AF$61,MATCH(LARGE(Dashboard!$AI$2:$AI$61,$A17),Dashboard!$AI$2:$AI$61,0),COLUMNS($D17:U17)))&amp;"/"&amp;INDEX(Beheer!$B$7:$B$36,COLUMNS($D17:U17)))</f>
        <v/>
      </c>
      <c r="V17" s="97" t="str" cm="1">
        <f t="array" ref="V17">IF(OR($A17="",COLUMNS($D17:V17)&gt;Beheer!$C$4),"",N(INDEX(Dashboard!$C$2:$AF$61,MATCH(LARGE(Dashboard!$AI$2:$AI$61,$A17),Dashboard!$AI$2:$AI$61,0),COLUMNS($D17:V17)))&amp;"/"&amp;INDEX(Beheer!$B$7:$B$36,COLUMNS($D17:V17)))</f>
        <v/>
      </c>
      <c r="W17" s="97" t="str" cm="1">
        <f t="array" ref="W17">IF(OR($A17="",COLUMNS($D17:W17)&gt;Beheer!$C$4),"",N(INDEX(Dashboard!$C$2:$AF$61,MATCH(LARGE(Dashboard!$AI$2:$AI$61,$A17),Dashboard!$AI$2:$AI$61,0),COLUMNS($D17:W17)))&amp;"/"&amp;INDEX(Beheer!$B$7:$B$36,COLUMNS($D17:W17)))</f>
        <v/>
      </c>
      <c r="X17" s="97" t="str" cm="1">
        <f t="array" ref="X17">IF(OR($A17="",COLUMNS($D17:X17)&gt;Beheer!$C$4),"",N(INDEX(Dashboard!$C$2:$AF$61,MATCH(LARGE(Dashboard!$AI$2:$AI$61,$A17),Dashboard!$AI$2:$AI$61,0),COLUMNS($D17:X17)))&amp;"/"&amp;INDEX(Beheer!$B$7:$B$36,COLUMNS($D17:X17)))</f>
        <v/>
      </c>
      <c r="Y17" s="97" t="str" cm="1">
        <f t="array" ref="Y17">IF(OR($A17="",COLUMNS($D17:Y17)&gt;Beheer!$C$4),"",N(INDEX(Dashboard!$C$2:$AF$61,MATCH(LARGE(Dashboard!$AI$2:$AI$61,$A17),Dashboard!$AI$2:$AI$61,0),COLUMNS($D17:Y17)))&amp;"/"&amp;INDEX(Beheer!$B$7:$B$36,COLUMNS($D17:Y17)))</f>
        <v/>
      </c>
      <c r="Z17" s="97" t="str" cm="1">
        <f t="array" ref="Z17">IF(OR($A17="",COLUMNS($D17:Z17)&gt;Beheer!$C$4),"",N(INDEX(Dashboard!$C$2:$AF$61,MATCH(LARGE(Dashboard!$AI$2:$AI$61,$A17),Dashboard!$AI$2:$AI$61,0),COLUMNS($D17:Z17)))&amp;"/"&amp;INDEX(Beheer!$B$7:$B$36,COLUMNS($D17:Z17)))</f>
        <v/>
      </c>
      <c r="AA17" s="97" t="str" cm="1">
        <f t="array" ref="AA17">IF(OR($A17="",COLUMNS($D17:AA17)&gt;Beheer!$C$4),"",N(INDEX(Dashboard!$C$2:$AF$61,MATCH(LARGE(Dashboard!$AI$2:$AI$61,$A17),Dashboard!$AI$2:$AI$61,0),COLUMNS($D17:AA17)))&amp;"/"&amp;INDEX(Beheer!$B$7:$B$36,COLUMNS($D17:AA17)))</f>
        <v/>
      </c>
      <c r="AB17" s="97" t="str" cm="1">
        <f t="array" ref="AB17">IF(OR($A17="",COLUMNS($D17:AB17)&gt;Beheer!$C$4),"",N(INDEX(Dashboard!$C$2:$AF$61,MATCH(LARGE(Dashboard!$AI$2:$AI$61,$A17),Dashboard!$AI$2:$AI$61,0),COLUMNS($D17:AB17)))&amp;"/"&amp;INDEX(Beheer!$B$7:$B$36,COLUMNS($D17:AB17)))</f>
        <v/>
      </c>
      <c r="AC17" s="97" t="str" cm="1">
        <f t="array" ref="AC17">IF(OR($A17="",COLUMNS($D17:AC17)&gt;Beheer!$C$4),"",N(INDEX(Dashboard!$C$2:$AF$61,MATCH(LARGE(Dashboard!$AI$2:$AI$61,$A17),Dashboard!$AI$2:$AI$61,0),COLUMNS($D17:AC17)))&amp;"/"&amp;INDEX(Beheer!$B$7:$B$36,COLUMNS($D17:AC17)))</f>
        <v/>
      </c>
      <c r="AD17" s="97" t="str" cm="1">
        <f t="array" ref="AD17">IF(OR($A17="",COLUMNS($D17:AD17)&gt;Beheer!$C$4),"",N(INDEX(Dashboard!$C$2:$AF$61,MATCH(LARGE(Dashboard!$AI$2:$AI$61,$A17),Dashboard!$AI$2:$AI$61,0),COLUMNS($D17:AD17)))&amp;"/"&amp;INDEX(Beheer!$B$7:$B$36,COLUMNS($D17:AD17)))</f>
        <v/>
      </c>
      <c r="AE17" s="97" t="str" cm="1">
        <f t="array" ref="AE17">IF(OR($A17="",COLUMNS($D17:AE17)&gt;Beheer!$C$4),"",N(INDEX(Dashboard!$C$2:$AF$61,MATCH(LARGE(Dashboard!$AI$2:$AI$61,$A17),Dashboard!$AI$2:$AI$61,0),COLUMNS($D17:AE17)))&amp;"/"&amp;INDEX(Beheer!$B$7:$B$36,COLUMNS($D17:AE17)))</f>
        <v/>
      </c>
      <c r="AF17" s="97" t="str" cm="1">
        <f t="array" ref="AF17">IF(OR($A17="",COLUMNS($D17:AF17)&gt;Beheer!$C$4),"",N(INDEX(Dashboard!$C$2:$AF$61,MATCH(LARGE(Dashboard!$AI$2:$AI$61,$A17),Dashboard!$AI$2:$AI$61,0),COLUMNS($D17:AF17)))&amp;"/"&amp;INDEX(Beheer!$B$7:$B$36,COLUMNS($D17:AF17)))</f>
        <v/>
      </c>
      <c r="AG17" s="97" t="str" cm="1">
        <f t="array" ref="AG17">IF(OR($A17="",COLUMNS($D17:AG17)&gt;Beheer!$C$4),"",N(INDEX(Dashboard!$C$2:$AF$61,MATCH(LARGE(Dashboard!$AI$2:$AI$61,$A17),Dashboard!$AI$2:$AI$61,0),COLUMNS($D17:AG17)))&amp;"/"&amp;INDEX(Beheer!$B$7:$B$36,COLUMNS($D17:AG17)))</f>
        <v/>
      </c>
    </row>
    <row r="18" spans="1:33" ht="24" customHeight="1" thickBot="1" x14ac:dyDescent="0.5">
      <c r="A18" s="99">
        <f>IF(ROWS($A$2:A18)&gt;COUNTA(Beheer!$F$7:$F$66),"",ROWS($A$2:A18))</f>
        <v>17</v>
      </c>
      <c r="B18" s="102" t="str">
        <f>IF($A18="","",INDEX(Dashboard!$A$2:$A$61,MATCH(LARGE(Dashboard!$AI$2:$AI$61,$A18),Dashboard!$AI$2:$AI$61,0)))</f>
        <v>Kieken zonder Kop</v>
      </c>
      <c r="C18" s="94" t="str">
        <f>IF($A18="","",INDEX(Dashboard!$AG$2:$AG$61,MATCH(LARGE(Dashboard!$AI$2:$AI$61,$A18),Dashboard!$AI$2:$AI$61,0))&amp;" / "&amp;INDEX(Dashboard!$AH$2:$AH$61,MATCH(LARGE(Dashboard!$AI$2:$AI$61,$A18),Dashboard!$AI$2:$AI$61,0)))</f>
        <v>67 / 130</v>
      </c>
      <c r="D18" s="95" t="str" cm="1">
        <f t="array" ref="D18">IF(OR($A18="",COLUMNS($D18:D18)&gt;Beheer!$C$4),"",N(INDEX(Dashboard!$C$2:$AF$61,MATCH(LARGE(Dashboard!$AI$2:$AI$61,$A18),Dashboard!$AI$2:$AI$61,0),COLUMNS($D18:D18)))&amp;"/"&amp;INDEX(Beheer!$B$7:$B$36,COLUMNS($D18:D18)))</f>
        <v>7/10</v>
      </c>
      <c r="E18" s="95" t="str" cm="1">
        <f t="array" ref="E18">IF(OR($A18="",COLUMNS($D18:E18)&gt;Beheer!$C$4),"",N(INDEX(Dashboard!$C$2:$AF$61,MATCH(LARGE(Dashboard!$AI$2:$AI$61,$A18),Dashboard!$AI$2:$AI$61,0),COLUMNS($D18:E18)))&amp;"/"&amp;INDEX(Beheer!$B$7:$B$36,COLUMNS($D18:E18)))</f>
        <v>8/10</v>
      </c>
      <c r="F18" s="95" t="str" cm="1">
        <f t="array" ref="F18">IF(OR($A18="",COLUMNS($D18:F18)&gt;Beheer!$C$4),"",N(INDEX(Dashboard!$C$2:$AF$61,MATCH(LARGE(Dashboard!$AI$2:$AI$61,$A18),Dashboard!$AI$2:$AI$61,0),COLUMNS($D18:F18)))&amp;"/"&amp;INDEX(Beheer!$B$7:$B$36,COLUMNS($D18:F18)))</f>
        <v>5/10</v>
      </c>
      <c r="G18" s="95" t="str" cm="1">
        <f t="array" ref="G18">IF(OR($A18="",COLUMNS($D18:G18)&gt;Beheer!$C$4),"",N(INDEX(Dashboard!$C$2:$AF$61,MATCH(LARGE(Dashboard!$AI$2:$AI$61,$A18),Dashboard!$AI$2:$AI$61,0),COLUMNS($D18:G18)))&amp;"/"&amp;INDEX(Beheer!$B$7:$B$36,COLUMNS($D18:G18)))</f>
        <v>6/20</v>
      </c>
      <c r="H18" s="95" t="str" cm="1">
        <f t="array" ref="H18">IF(OR($A18="",COLUMNS($D18:H18)&gt;Beheer!$C$4),"",N(INDEX(Dashboard!$C$2:$AF$61,MATCH(LARGE(Dashboard!$AI$2:$AI$61,$A18),Dashboard!$AI$2:$AI$61,0),COLUMNS($D18:H18)))&amp;"/"&amp;INDEX(Beheer!$B$7:$B$36,COLUMNS($D18:H18)))</f>
        <v>10/10</v>
      </c>
      <c r="I18" s="95" t="str" cm="1">
        <f t="array" ref="I18">IF(OR($A18="",COLUMNS($D18:I18)&gt;Beheer!$C$4),"",N(INDEX(Dashboard!$C$2:$AF$61,MATCH(LARGE(Dashboard!$AI$2:$AI$61,$A18),Dashboard!$AI$2:$AI$61,0),COLUMNS($D18:I18)))&amp;"/"&amp;INDEX(Beheer!$B$7:$B$36,COLUMNS($D18:I18)))</f>
        <v>8/10</v>
      </c>
      <c r="J18" s="95" t="str" cm="1">
        <f t="array" ref="J18">IF(OR($A18="",COLUMNS($D18:J18)&gt;Beheer!$C$4),"",N(INDEX(Dashboard!$C$2:$AF$61,MATCH(LARGE(Dashboard!$AI$2:$AI$61,$A18),Dashboard!$AI$2:$AI$61,0),COLUMNS($D18:J18)))&amp;"/"&amp;INDEX(Beheer!$B$7:$B$36,COLUMNS($D18:J18)))</f>
        <v>2/10</v>
      </c>
      <c r="K18" s="95" t="str" cm="1">
        <f t="array" ref="K18">IF(OR($A18="",COLUMNS($D18:K18)&gt;Beheer!$C$4),"",N(INDEX(Dashboard!$C$2:$AF$61,MATCH(LARGE(Dashboard!$AI$2:$AI$61,$A18),Dashboard!$AI$2:$AI$61,0),COLUMNS($D18:K18)))&amp;"/"&amp;INDEX(Beheer!$B$7:$B$36,COLUMNS($D18:K18)))</f>
        <v>4/15</v>
      </c>
      <c r="L18" s="95" t="str" cm="1">
        <f t="array" ref="L18">IF(OR($A18="",COLUMNS($D18:L18)&gt;Beheer!$C$4),"",N(INDEX(Dashboard!$C$2:$AF$61,MATCH(LARGE(Dashboard!$AI$2:$AI$61,$A18),Dashboard!$AI$2:$AI$61,0),COLUMNS($D18:L18)))&amp;"/"&amp;INDEX(Beheer!$B$7:$B$36,COLUMNS($D18:L18)))</f>
        <v>5/10</v>
      </c>
      <c r="M18" s="95" t="str" cm="1">
        <f t="array" ref="M18">IF(OR($A18="",COLUMNS($D18:M18)&gt;Beheer!$C$4),"",N(INDEX(Dashboard!$C$2:$AF$61,MATCH(LARGE(Dashboard!$AI$2:$AI$61,$A18),Dashboard!$AI$2:$AI$61,0),COLUMNS($D18:M18)))&amp;"/"&amp;INDEX(Beheer!$B$7:$B$36,COLUMNS($D18:M18)))</f>
        <v>5/10</v>
      </c>
      <c r="N18" s="95" t="str" cm="1">
        <f t="array" ref="N18">IF(OR($A18="",COLUMNS($D18:N18)&gt;Beheer!$C$4),"",N(INDEX(Dashboard!$C$2:$AF$61,MATCH(LARGE(Dashboard!$AI$2:$AI$61,$A18),Dashboard!$AI$2:$AI$61,0),COLUMNS($D18:N18)))&amp;"/"&amp;INDEX(Beheer!$B$7:$B$36,COLUMNS($D18:N18)))</f>
        <v>5/5</v>
      </c>
      <c r="O18" s="95" t="str" cm="1">
        <f t="array" ref="O18">IF(OR($A18="",COLUMNS($D18:O18)&gt;Beheer!$C$4),"",N(INDEX(Dashboard!$C$2:$AF$61,MATCH(LARGE(Dashboard!$AI$2:$AI$61,$A18),Dashboard!$AI$2:$AI$61,0),COLUMNS($D18:O18)))&amp;"/"&amp;INDEX(Beheer!$B$7:$B$36,COLUMNS($D18:O18)))</f>
        <v>2/10</v>
      </c>
      <c r="P18" s="95" t="str" cm="1">
        <f t="array" ref="P18">IF(OR($A18="",COLUMNS($D18:P18)&gt;Beheer!$C$4),"",N(INDEX(Dashboard!$C$2:$AF$61,MATCH(LARGE(Dashboard!$AI$2:$AI$61,$A18),Dashboard!$AI$2:$AI$61,0),COLUMNS($D18:P18)))&amp;"/"&amp;INDEX(Beheer!$B$7:$B$36,COLUMNS($D18:P18)))</f>
        <v/>
      </c>
      <c r="Q18" s="95" t="str" cm="1">
        <f t="array" ref="Q18">IF(OR($A18="",COLUMNS($D18:Q18)&gt;Beheer!$C$4),"",N(INDEX(Dashboard!$C$2:$AF$61,MATCH(LARGE(Dashboard!$AI$2:$AI$61,$A18),Dashboard!$AI$2:$AI$61,0),COLUMNS($D18:Q18)))&amp;"/"&amp;INDEX(Beheer!$B$7:$B$36,COLUMNS($D18:Q18)))</f>
        <v/>
      </c>
      <c r="R18" s="95" t="str" cm="1">
        <f t="array" ref="R18">IF(OR($A18="",COLUMNS($D18:R18)&gt;Beheer!$C$4),"",N(INDEX(Dashboard!$C$2:$AF$61,MATCH(LARGE(Dashboard!$AI$2:$AI$61,$A18),Dashboard!$AI$2:$AI$61,0),COLUMNS($D18:R18)))&amp;"/"&amp;INDEX(Beheer!$B$7:$B$36,COLUMNS($D18:R18)))</f>
        <v/>
      </c>
      <c r="S18" s="95" t="str" cm="1">
        <f t="array" ref="S18">IF(OR($A18="",COLUMNS($D18:S18)&gt;Beheer!$C$4),"",N(INDEX(Dashboard!$C$2:$AF$61,MATCH(LARGE(Dashboard!$AI$2:$AI$61,$A18),Dashboard!$AI$2:$AI$61,0),COLUMNS($D18:S18)))&amp;"/"&amp;INDEX(Beheer!$B$7:$B$36,COLUMNS($D18:S18)))</f>
        <v/>
      </c>
      <c r="T18" s="95" t="str" cm="1">
        <f t="array" ref="T18">IF(OR($A18="",COLUMNS($D18:T18)&gt;Beheer!$C$4),"",N(INDEX(Dashboard!$C$2:$AF$61,MATCH(LARGE(Dashboard!$AI$2:$AI$61,$A18),Dashboard!$AI$2:$AI$61,0),COLUMNS($D18:T18)))&amp;"/"&amp;INDEX(Beheer!$B$7:$B$36,COLUMNS($D18:T18)))</f>
        <v/>
      </c>
      <c r="U18" s="95" t="str" cm="1">
        <f t="array" ref="U18">IF(OR($A18="",COLUMNS($D18:U18)&gt;Beheer!$C$4),"",N(INDEX(Dashboard!$C$2:$AF$61,MATCH(LARGE(Dashboard!$AI$2:$AI$61,$A18),Dashboard!$AI$2:$AI$61,0),COLUMNS($D18:U18)))&amp;"/"&amp;INDEX(Beheer!$B$7:$B$36,COLUMNS($D18:U18)))</f>
        <v/>
      </c>
      <c r="V18" s="95" t="str" cm="1">
        <f t="array" ref="V18">IF(OR($A18="",COLUMNS($D18:V18)&gt;Beheer!$C$4),"",N(INDEX(Dashboard!$C$2:$AF$61,MATCH(LARGE(Dashboard!$AI$2:$AI$61,$A18),Dashboard!$AI$2:$AI$61,0),COLUMNS($D18:V18)))&amp;"/"&amp;INDEX(Beheer!$B$7:$B$36,COLUMNS($D18:V18)))</f>
        <v/>
      </c>
      <c r="W18" s="95" t="str" cm="1">
        <f t="array" ref="W18">IF(OR($A18="",COLUMNS($D18:W18)&gt;Beheer!$C$4),"",N(INDEX(Dashboard!$C$2:$AF$61,MATCH(LARGE(Dashboard!$AI$2:$AI$61,$A18),Dashboard!$AI$2:$AI$61,0),COLUMNS($D18:W18)))&amp;"/"&amp;INDEX(Beheer!$B$7:$B$36,COLUMNS($D18:W18)))</f>
        <v/>
      </c>
      <c r="X18" s="95" t="str" cm="1">
        <f t="array" ref="X18">IF(OR($A18="",COLUMNS($D18:X18)&gt;Beheer!$C$4),"",N(INDEX(Dashboard!$C$2:$AF$61,MATCH(LARGE(Dashboard!$AI$2:$AI$61,$A18),Dashboard!$AI$2:$AI$61,0),COLUMNS($D18:X18)))&amp;"/"&amp;INDEX(Beheer!$B$7:$B$36,COLUMNS($D18:X18)))</f>
        <v/>
      </c>
      <c r="Y18" s="95" t="str" cm="1">
        <f t="array" ref="Y18">IF(OR($A18="",COLUMNS($D18:Y18)&gt;Beheer!$C$4),"",N(INDEX(Dashboard!$C$2:$AF$61,MATCH(LARGE(Dashboard!$AI$2:$AI$61,$A18),Dashboard!$AI$2:$AI$61,0),COLUMNS($D18:Y18)))&amp;"/"&amp;INDEX(Beheer!$B$7:$B$36,COLUMNS($D18:Y18)))</f>
        <v/>
      </c>
      <c r="Z18" s="95" t="str" cm="1">
        <f t="array" ref="Z18">IF(OR($A18="",COLUMNS($D18:Z18)&gt;Beheer!$C$4),"",N(INDEX(Dashboard!$C$2:$AF$61,MATCH(LARGE(Dashboard!$AI$2:$AI$61,$A18),Dashboard!$AI$2:$AI$61,0),COLUMNS($D18:Z18)))&amp;"/"&amp;INDEX(Beheer!$B$7:$B$36,COLUMNS($D18:Z18)))</f>
        <v/>
      </c>
      <c r="AA18" s="95" t="str" cm="1">
        <f t="array" ref="AA18">IF(OR($A18="",COLUMNS($D18:AA18)&gt;Beheer!$C$4),"",N(INDEX(Dashboard!$C$2:$AF$61,MATCH(LARGE(Dashboard!$AI$2:$AI$61,$A18),Dashboard!$AI$2:$AI$61,0),COLUMNS($D18:AA18)))&amp;"/"&amp;INDEX(Beheer!$B$7:$B$36,COLUMNS($D18:AA18)))</f>
        <v/>
      </c>
      <c r="AB18" s="95" t="str" cm="1">
        <f t="array" ref="AB18">IF(OR($A18="",COLUMNS($D18:AB18)&gt;Beheer!$C$4),"",N(INDEX(Dashboard!$C$2:$AF$61,MATCH(LARGE(Dashboard!$AI$2:$AI$61,$A18),Dashboard!$AI$2:$AI$61,0),COLUMNS($D18:AB18)))&amp;"/"&amp;INDEX(Beheer!$B$7:$B$36,COLUMNS($D18:AB18)))</f>
        <v/>
      </c>
      <c r="AC18" s="95" t="str" cm="1">
        <f t="array" ref="AC18">IF(OR($A18="",COLUMNS($D18:AC18)&gt;Beheer!$C$4),"",N(INDEX(Dashboard!$C$2:$AF$61,MATCH(LARGE(Dashboard!$AI$2:$AI$61,$A18),Dashboard!$AI$2:$AI$61,0),COLUMNS($D18:AC18)))&amp;"/"&amp;INDEX(Beheer!$B$7:$B$36,COLUMNS($D18:AC18)))</f>
        <v/>
      </c>
      <c r="AD18" s="95" t="str" cm="1">
        <f t="array" ref="AD18">IF(OR($A18="",COLUMNS($D18:AD18)&gt;Beheer!$C$4),"",N(INDEX(Dashboard!$C$2:$AF$61,MATCH(LARGE(Dashboard!$AI$2:$AI$61,$A18),Dashboard!$AI$2:$AI$61,0),COLUMNS($D18:AD18)))&amp;"/"&amp;INDEX(Beheer!$B$7:$B$36,COLUMNS($D18:AD18)))</f>
        <v/>
      </c>
      <c r="AE18" s="95" t="str" cm="1">
        <f t="array" ref="AE18">IF(OR($A18="",COLUMNS($D18:AE18)&gt;Beheer!$C$4),"",N(INDEX(Dashboard!$C$2:$AF$61,MATCH(LARGE(Dashboard!$AI$2:$AI$61,$A18),Dashboard!$AI$2:$AI$61,0),COLUMNS($D18:AE18)))&amp;"/"&amp;INDEX(Beheer!$B$7:$B$36,COLUMNS($D18:AE18)))</f>
        <v/>
      </c>
      <c r="AF18" s="95" t="str" cm="1">
        <f t="array" ref="AF18">IF(OR($A18="",COLUMNS($D18:AF18)&gt;Beheer!$C$4),"",N(INDEX(Dashboard!$C$2:$AF$61,MATCH(LARGE(Dashboard!$AI$2:$AI$61,$A18),Dashboard!$AI$2:$AI$61,0),COLUMNS($D18:AF18)))&amp;"/"&amp;INDEX(Beheer!$B$7:$B$36,COLUMNS($D18:AF18)))</f>
        <v/>
      </c>
      <c r="AG18" s="95" t="str" cm="1">
        <f t="array" ref="AG18">IF(OR($A18="",COLUMNS($D18:AG18)&gt;Beheer!$C$4),"",N(INDEX(Dashboard!$C$2:$AF$61,MATCH(LARGE(Dashboard!$AI$2:$AI$61,$A18),Dashboard!$AI$2:$AI$61,0),COLUMNS($D18:AG18)))&amp;"/"&amp;INDEX(Beheer!$B$7:$B$36,COLUMNS($D18:AG18)))</f>
        <v/>
      </c>
    </row>
    <row r="19" spans="1:33" ht="24" customHeight="1" thickBot="1" x14ac:dyDescent="0.5">
      <c r="A19" s="98">
        <f>IF(ROWS($A$2:A19)&gt;COUNTA(Beheer!$F$7:$F$66),"",ROWS($A$2:A19))</f>
        <v>18</v>
      </c>
      <c r="B19" s="101" t="str">
        <f>IF($A19="","",INDEX(Dashboard!$A$2:$A$61,MATCH(LARGE(Dashboard!$AI$2:$AI$61,$A19),Dashboard!$AI$2:$AI$61,0)))</f>
        <v>Kortrijkse Krollen</v>
      </c>
      <c r="C19" s="96" t="str">
        <f>IF($A19="","",INDEX(Dashboard!$AG$2:$AG$61,MATCH(LARGE(Dashboard!$AI$2:$AI$61,$A19),Dashboard!$AI$2:$AI$61,0))&amp;" / "&amp;INDEX(Dashboard!$AH$2:$AH$61,MATCH(LARGE(Dashboard!$AI$2:$AI$61,$A19),Dashboard!$AI$2:$AI$61,0)))</f>
        <v>66 / 130</v>
      </c>
      <c r="D19" s="97" t="str" cm="1">
        <f t="array" ref="D19">IF(OR($A19="",COLUMNS($D19:D19)&gt;Beheer!$C$4),"",N(INDEX(Dashboard!$C$2:$AF$61,MATCH(LARGE(Dashboard!$AI$2:$AI$61,$A19),Dashboard!$AI$2:$AI$61,0),COLUMNS($D19:D19)))&amp;"/"&amp;INDEX(Beheer!$B$7:$B$36,COLUMNS($D19:D19)))</f>
        <v>10/10</v>
      </c>
      <c r="E19" s="97" t="str" cm="1">
        <f t="array" ref="E19">IF(OR($A19="",COLUMNS($D19:E19)&gt;Beheer!$C$4),"",N(INDEX(Dashboard!$C$2:$AF$61,MATCH(LARGE(Dashboard!$AI$2:$AI$61,$A19),Dashboard!$AI$2:$AI$61,0),COLUMNS($D19:E19)))&amp;"/"&amp;INDEX(Beheer!$B$7:$B$36,COLUMNS($D19:E19)))</f>
        <v>9/10</v>
      </c>
      <c r="F19" s="97" t="str" cm="1">
        <f t="array" ref="F19">IF(OR($A19="",COLUMNS($D19:F19)&gt;Beheer!$C$4),"",N(INDEX(Dashboard!$C$2:$AF$61,MATCH(LARGE(Dashboard!$AI$2:$AI$61,$A19),Dashboard!$AI$2:$AI$61,0),COLUMNS($D19:F19)))&amp;"/"&amp;INDEX(Beheer!$B$7:$B$36,COLUMNS($D19:F19)))</f>
        <v>2/10</v>
      </c>
      <c r="G19" s="97" t="str" cm="1">
        <f t="array" ref="G19">IF(OR($A19="",COLUMNS($D19:G19)&gt;Beheer!$C$4),"",N(INDEX(Dashboard!$C$2:$AF$61,MATCH(LARGE(Dashboard!$AI$2:$AI$61,$A19),Dashboard!$AI$2:$AI$61,0),COLUMNS($D19:G19)))&amp;"/"&amp;INDEX(Beheer!$B$7:$B$36,COLUMNS($D19:G19)))</f>
        <v>6/20</v>
      </c>
      <c r="H19" s="97" t="str" cm="1">
        <f t="array" ref="H19">IF(OR($A19="",COLUMNS($D19:H19)&gt;Beheer!$C$4),"",N(INDEX(Dashboard!$C$2:$AF$61,MATCH(LARGE(Dashboard!$AI$2:$AI$61,$A19),Dashboard!$AI$2:$AI$61,0),COLUMNS($D19:H19)))&amp;"/"&amp;INDEX(Beheer!$B$7:$B$36,COLUMNS($D19:H19)))</f>
        <v>4/10</v>
      </c>
      <c r="I19" s="97" t="str" cm="1">
        <f t="array" ref="I19">IF(OR($A19="",COLUMNS($D19:I19)&gt;Beheer!$C$4),"",N(INDEX(Dashboard!$C$2:$AF$61,MATCH(LARGE(Dashboard!$AI$2:$AI$61,$A19),Dashboard!$AI$2:$AI$61,0),COLUMNS($D19:I19)))&amp;"/"&amp;INDEX(Beheer!$B$7:$B$36,COLUMNS($D19:I19)))</f>
        <v>6/10</v>
      </c>
      <c r="J19" s="97" t="str" cm="1">
        <f t="array" ref="J19">IF(OR($A19="",COLUMNS($D19:J19)&gt;Beheer!$C$4),"",N(INDEX(Dashboard!$C$2:$AF$61,MATCH(LARGE(Dashboard!$AI$2:$AI$61,$A19),Dashboard!$AI$2:$AI$61,0),COLUMNS($D19:J19)))&amp;"/"&amp;INDEX(Beheer!$B$7:$B$36,COLUMNS($D19:J19)))</f>
        <v>6/10</v>
      </c>
      <c r="K19" s="97" t="str" cm="1">
        <f t="array" ref="K19">IF(OR($A19="",COLUMNS($D19:K19)&gt;Beheer!$C$4),"",N(INDEX(Dashboard!$C$2:$AF$61,MATCH(LARGE(Dashboard!$AI$2:$AI$61,$A19),Dashboard!$AI$2:$AI$61,0),COLUMNS($D19:K19)))&amp;"/"&amp;INDEX(Beheer!$B$7:$B$36,COLUMNS($D19:K19)))</f>
        <v>2/15</v>
      </c>
      <c r="L19" s="97" t="str" cm="1">
        <f t="array" ref="L19">IF(OR($A19="",COLUMNS($D19:L19)&gt;Beheer!$C$4),"",N(INDEX(Dashboard!$C$2:$AF$61,MATCH(LARGE(Dashboard!$AI$2:$AI$61,$A19),Dashboard!$AI$2:$AI$61,0),COLUMNS($D19:L19)))&amp;"/"&amp;INDEX(Beheer!$B$7:$B$36,COLUMNS($D19:L19)))</f>
        <v>4/10</v>
      </c>
      <c r="M19" s="97" t="str" cm="1">
        <f t="array" ref="M19">IF(OR($A19="",COLUMNS($D19:M19)&gt;Beheer!$C$4),"",N(INDEX(Dashboard!$C$2:$AF$61,MATCH(LARGE(Dashboard!$AI$2:$AI$61,$A19),Dashboard!$AI$2:$AI$61,0),COLUMNS($D19:M19)))&amp;"/"&amp;INDEX(Beheer!$B$7:$B$36,COLUMNS($D19:M19)))</f>
        <v>7/10</v>
      </c>
      <c r="N19" s="97" t="str" cm="1">
        <f t="array" ref="N19">IF(OR($A19="",COLUMNS($D19:N19)&gt;Beheer!$C$4),"",N(INDEX(Dashboard!$C$2:$AF$61,MATCH(LARGE(Dashboard!$AI$2:$AI$61,$A19),Dashboard!$AI$2:$AI$61,0),COLUMNS($D19:N19)))&amp;"/"&amp;INDEX(Beheer!$B$7:$B$36,COLUMNS($D19:N19)))</f>
        <v>4/5</v>
      </c>
      <c r="O19" s="97" t="str" cm="1">
        <f t="array" ref="O19">IF(OR($A19="",COLUMNS($D19:O19)&gt;Beheer!$C$4),"",N(INDEX(Dashboard!$C$2:$AF$61,MATCH(LARGE(Dashboard!$AI$2:$AI$61,$A19),Dashboard!$AI$2:$AI$61,0),COLUMNS($D19:O19)))&amp;"/"&amp;INDEX(Beheer!$B$7:$B$36,COLUMNS($D19:O19)))</f>
        <v>6/10</v>
      </c>
      <c r="P19" s="97" t="str" cm="1">
        <f t="array" ref="P19">IF(OR($A19="",COLUMNS($D19:P19)&gt;Beheer!$C$4),"",N(INDEX(Dashboard!$C$2:$AF$61,MATCH(LARGE(Dashboard!$AI$2:$AI$61,$A19),Dashboard!$AI$2:$AI$61,0),COLUMNS($D19:P19)))&amp;"/"&amp;INDEX(Beheer!$B$7:$B$36,COLUMNS($D19:P19)))</f>
        <v/>
      </c>
      <c r="Q19" s="97" t="str" cm="1">
        <f t="array" ref="Q19">IF(OR($A19="",COLUMNS($D19:Q19)&gt;Beheer!$C$4),"",N(INDEX(Dashboard!$C$2:$AF$61,MATCH(LARGE(Dashboard!$AI$2:$AI$61,$A19),Dashboard!$AI$2:$AI$61,0),COLUMNS($D19:Q19)))&amp;"/"&amp;INDEX(Beheer!$B$7:$B$36,COLUMNS($D19:Q19)))</f>
        <v/>
      </c>
      <c r="R19" s="97" t="str" cm="1">
        <f t="array" ref="R19">IF(OR($A19="",COLUMNS($D19:R19)&gt;Beheer!$C$4),"",N(INDEX(Dashboard!$C$2:$AF$61,MATCH(LARGE(Dashboard!$AI$2:$AI$61,$A19),Dashboard!$AI$2:$AI$61,0),COLUMNS($D19:R19)))&amp;"/"&amp;INDEX(Beheer!$B$7:$B$36,COLUMNS($D19:R19)))</f>
        <v/>
      </c>
      <c r="S19" s="97" t="str" cm="1">
        <f t="array" ref="S19">IF(OR($A19="",COLUMNS($D19:S19)&gt;Beheer!$C$4),"",N(INDEX(Dashboard!$C$2:$AF$61,MATCH(LARGE(Dashboard!$AI$2:$AI$61,$A19),Dashboard!$AI$2:$AI$61,0),COLUMNS($D19:S19)))&amp;"/"&amp;INDEX(Beheer!$B$7:$B$36,COLUMNS($D19:S19)))</f>
        <v/>
      </c>
      <c r="T19" s="97" t="str" cm="1">
        <f t="array" ref="T19">IF(OR($A19="",COLUMNS($D19:T19)&gt;Beheer!$C$4),"",N(INDEX(Dashboard!$C$2:$AF$61,MATCH(LARGE(Dashboard!$AI$2:$AI$61,$A19),Dashboard!$AI$2:$AI$61,0),COLUMNS($D19:T19)))&amp;"/"&amp;INDEX(Beheer!$B$7:$B$36,COLUMNS($D19:T19)))</f>
        <v/>
      </c>
      <c r="U19" s="97" t="str" cm="1">
        <f t="array" ref="U19">IF(OR($A19="",COLUMNS($D19:U19)&gt;Beheer!$C$4),"",N(INDEX(Dashboard!$C$2:$AF$61,MATCH(LARGE(Dashboard!$AI$2:$AI$61,$A19),Dashboard!$AI$2:$AI$61,0),COLUMNS($D19:U19)))&amp;"/"&amp;INDEX(Beheer!$B$7:$B$36,COLUMNS($D19:U19)))</f>
        <v/>
      </c>
      <c r="V19" s="97" t="str" cm="1">
        <f t="array" ref="V19">IF(OR($A19="",COLUMNS($D19:V19)&gt;Beheer!$C$4),"",N(INDEX(Dashboard!$C$2:$AF$61,MATCH(LARGE(Dashboard!$AI$2:$AI$61,$A19),Dashboard!$AI$2:$AI$61,0),COLUMNS($D19:V19)))&amp;"/"&amp;INDEX(Beheer!$B$7:$B$36,COLUMNS($D19:V19)))</f>
        <v/>
      </c>
      <c r="W19" s="97" t="str" cm="1">
        <f t="array" ref="W19">IF(OR($A19="",COLUMNS($D19:W19)&gt;Beheer!$C$4),"",N(INDEX(Dashboard!$C$2:$AF$61,MATCH(LARGE(Dashboard!$AI$2:$AI$61,$A19),Dashboard!$AI$2:$AI$61,0),COLUMNS($D19:W19)))&amp;"/"&amp;INDEX(Beheer!$B$7:$B$36,COLUMNS($D19:W19)))</f>
        <v/>
      </c>
      <c r="X19" s="97" t="str" cm="1">
        <f t="array" ref="X19">IF(OR($A19="",COLUMNS($D19:X19)&gt;Beheer!$C$4),"",N(INDEX(Dashboard!$C$2:$AF$61,MATCH(LARGE(Dashboard!$AI$2:$AI$61,$A19),Dashboard!$AI$2:$AI$61,0),COLUMNS($D19:X19)))&amp;"/"&amp;INDEX(Beheer!$B$7:$B$36,COLUMNS($D19:X19)))</f>
        <v/>
      </c>
      <c r="Y19" s="97" t="str" cm="1">
        <f t="array" ref="Y19">IF(OR($A19="",COLUMNS($D19:Y19)&gt;Beheer!$C$4),"",N(INDEX(Dashboard!$C$2:$AF$61,MATCH(LARGE(Dashboard!$AI$2:$AI$61,$A19),Dashboard!$AI$2:$AI$61,0),COLUMNS($D19:Y19)))&amp;"/"&amp;INDEX(Beheer!$B$7:$B$36,COLUMNS($D19:Y19)))</f>
        <v/>
      </c>
      <c r="Z19" s="97" t="str" cm="1">
        <f t="array" ref="Z19">IF(OR($A19="",COLUMNS($D19:Z19)&gt;Beheer!$C$4),"",N(INDEX(Dashboard!$C$2:$AF$61,MATCH(LARGE(Dashboard!$AI$2:$AI$61,$A19),Dashboard!$AI$2:$AI$61,0),COLUMNS($D19:Z19)))&amp;"/"&amp;INDEX(Beheer!$B$7:$B$36,COLUMNS($D19:Z19)))</f>
        <v/>
      </c>
      <c r="AA19" s="97" t="str" cm="1">
        <f t="array" ref="AA19">IF(OR($A19="",COLUMNS($D19:AA19)&gt;Beheer!$C$4),"",N(INDEX(Dashboard!$C$2:$AF$61,MATCH(LARGE(Dashboard!$AI$2:$AI$61,$A19),Dashboard!$AI$2:$AI$61,0),COLUMNS($D19:AA19)))&amp;"/"&amp;INDEX(Beheer!$B$7:$B$36,COLUMNS($D19:AA19)))</f>
        <v/>
      </c>
      <c r="AB19" s="97" t="str" cm="1">
        <f t="array" ref="AB19">IF(OR($A19="",COLUMNS($D19:AB19)&gt;Beheer!$C$4),"",N(INDEX(Dashboard!$C$2:$AF$61,MATCH(LARGE(Dashboard!$AI$2:$AI$61,$A19),Dashboard!$AI$2:$AI$61,0),COLUMNS($D19:AB19)))&amp;"/"&amp;INDEX(Beheer!$B$7:$B$36,COLUMNS($D19:AB19)))</f>
        <v/>
      </c>
      <c r="AC19" s="97" t="str" cm="1">
        <f t="array" ref="AC19">IF(OR($A19="",COLUMNS($D19:AC19)&gt;Beheer!$C$4),"",N(INDEX(Dashboard!$C$2:$AF$61,MATCH(LARGE(Dashboard!$AI$2:$AI$61,$A19),Dashboard!$AI$2:$AI$61,0),COLUMNS($D19:AC19)))&amp;"/"&amp;INDEX(Beheer!$B$7:$B$36,COLUMNS($D19:AC19)))</f>
        <v/>
      </c>
      <c r="AD19" s="97" t="str" cm="1">
        <f t="array" ref="AD19">IF(OR($A19="",COLUMNS($D19:AD19)&gt;Beheer!$C$4),"",N(INDEX(Dashboard!$C$2:$AF$61,MATCH(LARGE(Dashboard!$AI$2:$AI$61,$A19),Dashboard!$AI$2:$AI$61,0),COLUMNS($D19:AD19)))&amp;"/"&amp;INDEX(Beheer!$B$7:$B$36,COLUMNS($D19:AD19)))</f>
        <v/>
      </c>
      <c r="AE19" s="97" t="str" cm="1">
        <f t="array" ref="AE19">IF(OR($A19="",COLUMNS($D19:AE19)&gt;Beheer!$C$4),"",N(INDEX(Dashboard!$C$2:$AF$61,MATCH(LARGE(Dashboard!$AI$2:$AI$61,$A19),Dashboard!$AI$2:$AI$61,0),COLUMNS($D19:AE19)))&amp;"/"&amp;INDEX(Beheer!$B$7:$B$36,COLUMNS($D19:AE19)))</f>
        <v/>
      </c>
      <c r="AF19" s="97" t="str" cm="1">
        <f t="array" ref="AF19">IF(OR($A19="",COLUMNS($D19:AF19)&gt;Beheer!$C$4),"",N(INDEX(Dashboard!$C$2:$AF$61,MATCH(LARGE(Dashboard!$AI$2:$AI$61,$A19),Dashboard!$AI$2:$AI$61,0),COLUMNS($D19:AF19)))&amp;"/"&amp;INDEX(Beheer!$B$7:$B$36,COLUMNS($D19:AF19)))</f>
        <v/>
      </c>
      <c r="AG19" s="97" t="str" cm="1">
        <f t="array" ref="AG19">IF(OR($A19="",COLUMNS($D19:AG19)&gt;Beheer!$C$4),"",N(INDEX(Dashboard!$C$2:$AF$61,MATCH(LARGE(Dashboard!$AI$2:$AI$61,$A19),Dashboard!$AI$2:$AI$61,0),COLUMNS($D19:AG19)))&amp;"/"&amp;INDEX(Beheer!$B$7:$B$36,COLUMNS($D19:AG19)))</f>
        <v/>
      </c>
    </row>
    <row r="20" spans="1:33" ht="24" customHeight="1" thickBot="1" x14ac:dyDescent="0.5">
      <c r="A20" s="99">
        <f>IF(ROWS($A$2:A20)&gt;COUNTA(Beheer!$F$7:$F$66),"",ROWS($A$2:A20))</f>
        <v>19</v>
      </c>
      <c r="B20" s="102" t="str">
        <f>IF($A20="","",INDEX(Dashboard!$A$2:$A$61,MATCH(LARGE(Dashboard!$AI$2:$AI$61,$A20),Dashboard!$AI$2:$AI$61,0)))</f>
        <v>De Choco Prinsen</v>
      </c>
      <c r="C20" s="94" t="str">
        <f>IF($A20="","",INDEX(Dashboard!$AG$2:$AG$61,MATCH(LARGE(Dashboard!$AI$2:$AI$61,$A20),Dashboard!$AI$2:$AI$61,0))&amp;" / "&amp;INDEX(Dashboard!$AH$2:$AH$61,MATCH(LARGE(Dashboard!$AI$2:$AI$61,$A20),Dashboard!$AI$2:$AI$61,0)))</f>
        <v>66 / 130</v>
      </c>
      <c r="D20" s="95" t="str" cm="1">
        <f t="array" ref="D20">IF(OR($A20="",COLUMNS($D20:D20)&gt;Beheer!$C$4),"",N(INDEX(Dashboard!$C$2:$AF$61,MATCH(LARGE(Dashboard!$AI$2:$AI$61,$A20),Dashboard!$AI$2:$AI$61,0),COLUMNS($D20:D20)))&amp;"/"&amp;INDEX(Beheer!$B$7:$B$36,COLUMNS($D20:D20)))</f>
        <v>9/10</v>
      </c>
      <c r="E20" s="95" t="str" cm="1">
        <f t="array" ref="E20">IF(OR($A20="",COLUMNS($D20:E20)&gt;Beheer!$C$4),"",N(INDEX(Dashboard!$C$2:$AF$61,MATCH(LARGE(Dashboard!$AI$2:$AI$61,$A20),Dashboard!$AI$2:$AI$61,0),COLUMNS($D20:E20)))&amp;"/"&amp;INDEX(Beheer!$B$7:$B$36,COLUMNS($D20:E20)))</f>
        <v>10/10</v>
      </c>
      <c r="F20" s="95" t="str" cm="1">
        <f t="array" ref="F20">IF(OR($A20="",COLUMNS($D20:F20)&gt;Beheer!$C$4),"",N(INDEX(Dashboard!$C$2:$AF$61,MATCH(LARGE(Dashboard!$AI$2:$AI$61,$A20),Dashboard!$AI$2:$AI$61,0),COLUMNS($D20:F20)))&amp;"/"&amp;INDEX(Beheer!$B$7:$B$36,COLUMNS($D20:F20)))</f>
        <v>1/10</v>
      </c>
      <c r="G20" s="95" t="str" cm="1">
        <f t="array" ref="G20">IF(OR($A20="",COLUMNS($D20:G20)&gt;Beheer!$C$4),"",N(INDEX(Dashboard!$C$2:$AF$61,MATCH(LARGE(Dashboard!$AI$2:$AI$61,$A20),Dashboard!$AI$2:$AI$61,0),COLUMNS($D20:G20)))&amp;"/"&amp;INDEX(Beheer!$B$7:$B$36,COLUMNS($D20:G20)))</f>
        <v>4/20</v>
      </c>
      <c r="H20" s="95" t="str" cm="1">
        <f t="array" ref="H20">IF(OR($A20="",COLUMNS($D20:H20)&gt;Beheer!$C$4),"",N(INDEX(Dashboard!$C$2:$AF$61,MATCH(LARGE(Dashboard!$AI$2:$AI$61,$A20),Dashboard!$AI$2:$AI$61,0),COLUMNS($D20:H20)))&amp;"/"&amp;INDEX(Beheer!$B$7:$B$36,COLUMNS($D20:H20)))</f>
        <v>9/10</v>
      </c>
      <c r="I20" s="95" t="str" cm="1">
        <f t="array" ref="I20">IF(OR($A20="",COLUMNS($D20:I20)&gt;Beheer!$C$4),"",N(INDEX(Dashboard!$C$2:$AF$61,MATCH(LARGE(Dashboard!$AI$2:$AI$61,$A20),Dashboard!$AI$2:$AI$61,0),COLUMNS($D20:I20)))&amp;"/"&amp;INDEX(Beheer!$B$7:$B$36,COLUMNS($D20:I20)))</f>
        <v>2/10</v>
      </c>
      <c r="J20" s="95" t="str" cm="1">
        <f t="array" ref="J20">IF(OR($A20="",COLUMNS($D20:J20)&gt;Beheer!$C$4),"",N(INDEX(Dashboard!$C$2:$AF$61,MATCH(LARGE(Dashboard!$AI$2:$AI$61,$A20),Dashboard!$AI$2:$AI$61,0),COLUMNS($D20:J20)))&amp;"/"&amp;INDEX(Beheer!$B$7:$B$36,COLUMNS($D20:J20)))</f>
        <v>5/10</v>
      </c>
      <c r="K20" s="95" t="str" cm="1">
        <f t="array" ref="K20">IF(OR($A20="",COLUMNS($D20:K20)&gt;Beheer!$C$4),"",N(INDEX(Dashboard!$C$2:$AF$61,MATCH(LARGE(Dashboard!$AI$2:$AI$61,$A20),Dashboard!$AI$2:$AI$61,0),COLUMNS($D20:K20)))&amp;"/"&amp;INDEX(Beheer!$B$7:$B$36,COLUMNS($D20:K20)))</f>
        <v>5/15</v>
      </c>
      <c r="L20" s="95" t="str" cm="1">
        <f t="array" ref="L20">IF(OR($A20="",COLUMNS($D20:L20)&gt;Beheer!$C$4),"",N(INDEX(Dashboard!$C$2:$AF$61,MATCH(LARGE(Dashboard!$AI$2:$AI$61,$A20),Dashboard!$AI$2:$AI$61,0),COLUMNS($D20:L20)))&amp;"/"&amp;INDEX(Beheer!$B$7:$B$36,COLUMNS($D20:L20)))</f>
        <v>4/10</v>
      </c>
      <c r="M20" s="95" t="str" cm="1">
        <f t="array" ref="M20">IF(OR($A20="",COLUMNS($D20:M20)&gt;Beheer!$C$4),"",N(INDEX(Dashboard!$C$2:$AF$61,MATCH(LARGE(Dashboard!$AI$2:$AI$61,$A20),Dashboard!$AI$2:$AI$61,0),COLUMNS($D20:M20)))&amp;"/"&amp;INDEX(Beheer!$B$7:$B$36,COLUMNS($D20:M20)))</f>
        <v>6/10</v>
      </c>
      <c r="N20" s="95" t="str" cm="1">
        <f t="array" ref="N20">IF(OR($A20="",COLUMNS($D20:N20)&gt;Beheer!$C$4),"",N(INDEX(Dashboard!$C$2:$AF$61,MATCH(LARGE(Dashboard!$AI$2:$AI$61,$A20),Dashboard!$AI$2:$AI$61,0),COLUMNS($D20:N20)))&amp;"/"&amp;INDEX(Beheer!$B$7:$B$36,COLUMNS($D20:N20)))</f>
        <v>4/5</v>
      </c>
      <c r="O20" s="95" t="str" cm="1">
        <f t="array" ref="O20">IF(OR($A20="",COLUMNS($D20:O20)&gt;Beheer!$C$4),"",N(INDEX(Dashboard!$C$2:$AF$61,MATCH(LARGE(Dashboard!$AI$2:$AI$61,$A20),Dashboard!$AI$2:$AI$61,0),COLUMNS($D20:O20)))&amp;"/"&amp;INDEX(Beheer!$B$7:$B$36,COLUMNS($D20:O20)))</f>
        <v>7/10</v>
      </c>
      <c r="P20" s="95" t="str" cm="1">
        <f t="array" ref="P20">IF(OR($A20="",COLUMNS($D20:P20)&gt;Beheer!$C$4),"",N(INDEX(Dashboard!$C$2:$AF$61,MATCH(LARGE(Dashboard!$AI$2:$AI$61,$A20),Dashboard!$AI$2:$AI$61,0),COLUMNS($D20:P20)))&amp;"/"&amp;INDEX(Beheer!$B$7:$B$36,COLUMNS($D20:P20)))</f>
        <v/>
      </c>
      <c r="Q20" s="95" t="str" cm="1">
        <f t="array" ref="Q20">IF(OR($A20="",COLUMNS($D20:Q20)&gt;Beheer!$C$4),"",N(INDEX(Dashboard!$C$2:$AF$61,MATCH(LARGE(Dashboard!$AI$2:$AI$61,$A20),Dashboard!$AI$2:$AI$61,0),COLUMNS($D20:Q20)))&amp;"/"&amp;INDEX(Beheer!$B$7:$B$36,COLUMNS($D20:Q20)))</f>
        <v/>
      </c>
      <c r="R20" s="95" t="str" cm="1">
        <f t="array" ref="R20">IF(OR($A20="",COLUMNS($D20:R20)&gt;Beheer!$C$4),"",N(INDEX(Dashboard!$C$2:$AF$61,MATCH(LARGE(Dashboard!$AI$2:$AI$61,$A20),Dashboard!$AI$2:$AI$61,0),COLUMNS($D20:R20)))&amp;"/"&amp;INDEX(Beheer!$B$7:$B$36,COLUMNS($D20:R20)))</f>
        <v/>
      </c>
      <c r="S20" s="95" t="str" cm="1">
        <f t="array" ref="S20">IF(OR($A20="",COLUMNS($D20:S20)&gt;Beheer!$C$4),"",N(INDEX(Dashboard!$C$2:$AF$61,MATCH(LARGE(Dashboard!$AI$2:$AI$61,$A20),Dashboard!$AI$2:$AI$61,0),COLUMNS($D20:S20)))&amp;"/"&amp;INDEX(Beheer!$B$7:$B$36,COLUMNS($D20:S20)))</f>
        <v/>
      </c>
      <c r="T20" s="95" t="str" cm="1">
        <f t="array" ref="T20">IF(OR($A20="",COLUMNS($D20:T20)&gt;Beheer!$C$4),"",N(INDEX(Dashboard!$C$2:$AF$61,MATCH(LARGE(Dashboard!$AI$2:$AI$61,$A20),Dashboard!$AI$2:$AI$61,0),COLUMNS($D20:T20)))&amp;"/"&amp;INDEX(Beheer!$B$7:$B$36,COLUMNS($D20:T20)))</f>
        <v/>
      </c>
      <c r="U20" s="95" t="str" cm="1">
        <f t="array" ref="U20">IF(OR($A20="",COLUMNS($D20:U20)&gt;Beheer!$C$4),"",N(INDEX(Dashboard!$C$2:$AF$61,MATCH(LARGE(Dashboard!$AI$2:$AI$61,$A20),Dashboard!$AI$2:$AI$61,0),COLUMNS($D20:U20)))&amp;"/"&amp;INDEX(Beheer!$B$7:$B$36,COLUMNS($D20:U20)))</f>
        <v/>
      </c>
      <c r="V20" s="95" t="str" cm="1">
        <f t="array" ref="V20">IF(OR($A20="",COLUMNS($D20:V20)&gt;Beheer!$C$4),"",N(INDEX(Dashboard!$C$2:$AF$61,MATCH(LARGE(Dashboard!$AI$2:$AI$61,$A20),Dashboard!$AI$2:$AI$61,0),COLUMNS($D20:V20)))&amp;"/"&amp;INDEX(Beheer!$B$7:$B$36,COLUMNS($D20:V20)))</f>
        <v/>
      </c>
      <c r="W20" s="95" t="str" cm="1">
        <f t="array" ref="W20">IF(OR($A20="",COLUMNS($D20:W20)&gt;Beheer!$C$4),"",N(INDEX(Dashboard!$C$2:$AF$61,MATCH(LARGE(Dashboard!$AI$2:$AI$61,$A20),Dashboard!$AI$2:$AI$61,0),COLUMNS($D20:W20)))&amp;"/"&amp;INDEX(Beheer!$B$7:$B$36,COLUMNS($D20:W20)))</f>
        <v/>
      </c>
      <c r="X20" s="95" t="str" cm="1">
        <f t="array" ref="X20">IF(OR($A20="",COLUMNS($D20:X20)&gt;Beheer!$C$4),"",N(INDEX(Dashboard!$C$2:$AF$61,MATCH(LARGE(Dashboard!$AI$2:$AI$61,$A20),Dashboard!$AI$2:$AI$61,0),COLUMNS($D20:X20)))&amp;"/"&amp;INDEX(Beheer!$B$7:$B$36,COLUMNS($D20:X20)))</f>
        <v/>
      </c>
      <c r="Y20" s="95" t="str" cm="1">
        <f t="array" ref="Y20">IF(OR($A20="",COLUMNS($D20:Y20)&gt;Beheer!$C$4),"",N(INDEX(Dashboard!$C$2:$AF$61,MATCH(LARGE(Dashboard!$AI$2:$AI$61,$A20),Dashboard!$AI$2:$AI$61,0),COLUMNS($D20:Y20)))&amp;"/"&amp;INDEX(Beheer!$B$7:$B$36,COLUMNS($D20:Y20)))</f>
        <v/>
      </c>
      <c r="Z20" s="95" t="str" cm="1">
        <f t="array" ref="Z20">IF(OR($A20="",COLUMNS($D20:Z20)&gt;Beheer!$C$4),"",N(INDEX(Dashboard!$C$2:$AF$61,MATCH(LARGE(Dashboard!$AI$2:$AI$61,$A20),Dashboard!$AI$2:$AI$61,0),COLUMNS($D20:Z20)))&amp;"/"&amp;INDEX(Beheer!$B$7:$B$36,COLUMNS($D20:Z20)))</f>
        <v/>
      </c>
      <c r="AA20" s="95" t="str" cm="1">
        <f t="array" ref="AA20">IF(OR($A20="",COLUMNS($D20:AA20)&gt;Beheer!$C$4),"",N(INDEX(Dashboard!$C$2:$AF$61,MATCH(LARGE(Dashboard!$AI$2:$AI$61,$A20),Dashboard!$AI$2:$AI$61,0),COLUMNS($D20:AA20)))&amp;"/"&amp;INDEX(Beheer!$B$7:$B$36,COLUMNS($D20:AA20)))</f>
        <v/>
      </c>
      <c r="AB20" s="95" t="str" cm="1">
        <f t="array" ref="AB20">IF(OR($A20="",COLUMNS($D20:AB20)&gt;Beheer!$C$4),"",N(INDEX(Dashboard!$C$2:$AF$61,MATCH(LARGE(Dashboard!$AI$2:$AI$61,$A20),Dashboard!$AI$2:$AI$61,0),COLUMNS($D20:AB20)))&amp;"/"&amp;INDEX(Beheer!$B$7:$B$36,COLUMNS($D20:AB20)))</f>
        <v/>
      </c>
      <c r="AC20" s="95" t="str" cm="1">
        <f t="array" ref="AC20">IF(OR($A20="",COLUMNS($D20:AC20)&gt;Beheer!$C$4),"",N(INDEX(Dashboard!$C$2:$AF$61,MATCH(LARGE(Dashboard!$AI$2:$AI$61,$A20),Dashboard!$AI$2:$AI$61,0),COLUMNS($D20:AC20)))&amp;"/"&amp;INDEX(Beheer!$B$7:$B$36,COLUMNS($D20:AC20)))</f>
        <v/>
      </c>
      <c r="AD20" s="95" t="str" cm="1">
        <f t="array" ref="AD20">IF(OR($A20="",COLUMNS($D20:AD20)&gt;Beheer!$C$4),"",N(INDEX(Dashboard!$C$2:$AF$61,MATCH(LARGE(Dashboard!$AI$2:$AI$61,$A20),Dashboard!$AI$2:$AI$61,0),COLUMNS($D20:AD20)))&amp;"/"&amp;INDEX(Beheer!$B$7:$B$36,COLUMNS($D20:AD20)))</f>
        <v/>
      </c>
      <c r="AE20" s="95" t="str" cm="1">
        <f t="array" ref="AE20">IF(OR($A20="",COLUMNS($D20:AE20)&gt;Beheer!$C$4),"",N(INDEX(Dashboard!$C$2:$AF$61,MATCH(LARGE(Dashboard!$AI$2:$AI$61,$A20),Dashboard!$AI$2:$AI$61,0),COLUMNS($D20:AE20)))&amp;"/"&amp;INDEX(Beheer!$B$7:$B$36,COLUMNS($D20:AE20)))</f>
        <v/>
      </c>
      <c r="AF20" s="95" t="str" cm="1">
        <f t="array" ref="AF20">IF(OR($A20="",COLUMNS($D20:AF20)&gt;Beheer!$C$4),"",N(INDEX(Dashboard!$C$2:$AF$61,MATCH(LARGE(Dashboard!$AI$2:$AI$61,$A20),Dashboard!$AI$2:$AI$61,0),COLUMNS($D20:AF20)))&amp;"/"&amp;INDEX(Beheer!$B$7:$B$36,COLUMNS($D20:AF20)))</f>
        <v/>
      </c>
      <c r="AG20" s="95" t="str" cm="1">
        <f t="array" ref="AG20">IF(OR($A20="",COLUMNS($D20:AG20)&gt;Beheer!$C$4),"",N(INDEX(Dashboard!$C$2:$AF$61,MATCH(LARGE(Dashboard!$AI$2:$AI$61,$A20),Dashboard!$AI$2:$AI$61,0),COLUMNS($D20:AG20)))&amp;"/"&amp;INDEX(Beheer!$B$7:$B$36,COLUMNS($D20:AG20)))</f>
        <v/>
      </c>
    </row>
    <row r="21" spans="1:33" ht="24" customHeight="1" thickBot="1" x14ac:dyDescent="0.5">
      <c r="A21" s="98">
        <f>IF(ROWS($A$2:A21)&gt;COUNTA(Beheer!$F$7:$F$66),"",ROWS($A$2:A21))</f>
        <v>20</v>
      </c>
      <c r="B21" s="101" t="str">
        <f>IF($A21="","",INDEX(Dashboard!$A$2:$A$61,MATCH(LARGE(Dashboard!$AI$2:$AI$61,$A21),Dashboard!$AI$2:$AI$61,0)))</f>
        <v>De Frietkotbazen</v>
      </c>
      <c r="C21" s="96" t="str">
        <f>IF($A21="","",INDEX(Dashboard!$AG$2:$AG$61,MATCH(LARGE(Dashboard!$AI$2:$AI$61,$A21),Dashboard!$AI$2:$AI$61,0))&amp;" / "&amp;INDEX(Dashboard!$AH$2:$AH$61,MATCH(LARGE(Dashboard!$AI$2:$AI$61,$A21),Dashboard!$AI$2:$AI$61,0)))</f>
        <v>65 / 130</v>
      </c>
      <c r="D21" s="97" t="str" cm="1">
        <f t="array" ref="D21">IF(OR($A21="",COLUMNS($D21:D21)&gt;Beheer!$C$4),"",N(INDEX(Dashboard!$C$2:$AF$61,MATCH(LARGE(Dashboard!$AI$2:$AI$61,$A21),Dashboard!$AI$2:$AI$61,0),COLUMNS($D21:D21)))&amp;"/"&amp;INDEX(Beheer!$B$7:$B$36,COLUMNS($D21:D21)))</f>
        <v>10/10</v>
      </c>
      <c r="E21" s="97" t="str" cm="1">
        <f t="array" ref="E21">IF(OR($A21="",COLUMNS($D21:E21)&gt;Beheer!$C$4),"",N(INDEX(Dashboard!$C$2:$AF$61,MATCH(LARGE(Dashboard!$AI$2:$AI$61,$A21),Dashboard!$AI$2:$AI$61,0),COLUMNS($D21:E21)))&amp;"/"&amp;INDEX(Beheer!$B$7:$B$36,COLUMNS($D21:E21)))</f>
        <v>1/10</v>
      </c>
      <c r="F21" s="97" t="str" cm="1">
        <f t="array" ref="F21">IF(OR($A21="",COLUMNS($D21:F21)&gt;Beheer!$C$4),"",N(INDEX(Dashboard!$C$2:$AF$61,MATCH(LARGE(Dashboard!$AI$2:$AI$61,$A21),Dashboard!$AI$2:$AI$61,0),COLUMNS($D21:F21)))&amp;"/"&amp;INDEX(Beheer!$B$7:$B$36,COLUMNS($D21:F21)))</f>
        <v>1/10</v>
      </c>
      <c r="G21" s="97" t="str" cm="1">
        <f t="array" ref="G21">IF(OR($A21="",COLUMNS($D21:G21)&gt;Beheer!$C$4),"",N(INDEX(Dashboard!$C$2:$AF$61,MATCH(LARGE(Dashboard!$AI$2:$AI$61,$A21),Dashboard!$AI$2:$AI$61,0),COLUMNS($D21:G21)))&amp;"/"&amp;INDEX(Beheer!$B$7:$B$36,COLUMNS($D21:G21)))</f>
        <v>20/20</v>
      </c>
      <c r="H21" s="97" t="str" cm="1">
        <f t="array" ref="H21">IF(OR($A21="",COLUMNS($D21:H21)&gt;Beheer!$C$4),"",N(INDEX(Dashboard!$C$2:$AF$61,MATCH(LARGE(Dashboard!$AI$2:$AI$61,$A21),Dashboard!$AI$2:$AI$61,0),COLUMNS($D21:H21)))&amp;"/"&amp;INDEX(Beheer!$B$7:$B$36,COLUMNS($D21:H21)))</f>
        <v>8/10</v>
      </c>
      <c r="I21" s="97" t="str" cm="1">
        <f t="array" ref="I21">IF(OR($A21="",COLUMNS($D21:I21)&gt;Beheer!$C$4),"",N(INDEX(Dashboard!$C$2:$AF$61,MATCH(LARGE(Dashboard!$AI$2:$AI$61,$A21),Dashboard!$AI$2:$AI$61,0),COLUMNS($D21:I21)))&amp;"/"&amp;INDEX(Beheer!$B$7:$B$36,COLUMNS($D21:I21)))</f>
        <v>1/10</v>
      </c>
      <c r="J21" s="97" t="str" cm="1">
        <f t="array" ref="J21">IF(OR($A21="",COLUMNS($D21:J21)&gt;Beheer!$C$4),"",N(INDEX(Dashboard!$C$2:$AF$61,MATCH(LARGE(Dashboard!$AI$2:$AI$61,$A21),Dashboard!$AI$2:$AI$61,0),COLUMNS($D21:J21)))&amp;"/"&amp;INDEX(Beheer!$B$7:$B$36,COLUMNS($D21:J21)))</f>
        <v>5/10</v>
      </c>
      <c r="K21" s="97" t="str" cm="1">
        <f t="array" ref="K21">IF(OR($A21="",COLUMNS($D21:K21)&gt;Beheer!$C$4),"",N(INDEX(Dashboard!$C$2:$AF$61,MATCH(LARGE(Dashboard!$AI$2:$AI$61,$A21),Dashboard!$AI$2:$AI$61,0),COLUMNS($D21:K21)))&amp;"/"&amp;INDEX(Beheer!$B$7:$B$36,COLUMNS($D21:K21)))</f>
        <v>4/15</v>
      </c>
      <c r="L21" s="97" t="str" cm="1">
        <f t="array" ref="L21">IF(OR($A21="",COLUMNS($D21:L21)&gt;Beheer!$C$4),"",N(INDEX(Dashboard!$C$2:$AF$61,MATCH(LARGE(Dashboard!$AI$2:$AI$61,$A21),Dashboard!$AI$2:$AI$61,0),COLUMNS($D21:L21)))&amp;"/"&amp;INDEX(Beheer!$B$7:$B$36,COLUMNS($D21:L21)))</f>
        <v>3/10</v>
      </c>
      <c r="M21" s="97" t="str" cm="1">
        <f t="array" ref="M21">IF(OR($A21="",COLUMNS($D21:M21)&gt;Beheer!$C$4),"",N(INDEX(Dashboard!$C$2:$AF$61,MATCH(LARGE(Dashboard!$AI$2:$AI$61,$A21),Dashboard!$AI$2:$AI$61,0),COLUMNS($D21:M21)))&amp;"/"&amp;INDEX(Beheer!$B$7:$B$36,COLUMNS($D21:M21)))</f>
        <v>8/10</v>
      </c>
      <c r="N21" s="97" t="str" cm="1">
        <f t="array" ref="N21">IF(OR($A21="",COLUMNS($D21:N21)&gt;Beheer!$C$4),"",N(INDEX(Dashboard!$C$2:$AF$61,MATCH(LARGE(Dashboard!$AI$2:$AI$61,$A21),Dashboard!$AI$2:$AI$61,0),COLUMNS($D21:N21)))&amp;"/"&amp;INDEX(Beheer!$B$7:$B$36,COLUMNS($D21:N21)))</f>
        <v>1/5</v>
      </c>
      <c r="O21" s="97" t="str" cm="1">
        <f t="array" ref="O21">IF(OR($A21="",COLUMNS($D21:O21)&gt;Beheer!$C$4),"",N(INDEX(Dashboard!$C$2:$AF$61,MATCH(LARGE(Dashboard!$AI$2:$AI$61,$A21),Dashboard!$AI$2:$AI$61,0),COLUMNS($D21:O21)))&amp;"/"&amp;INDEX(Beheer!$B$7:$B$36,COLUMNS($D21:O21)))</f>
        <v>3/10</v>
      </c>
      <c r="P21" s="97" t="str" cm="1">
        <f t="array" ref="P21">IF(OR($A21="",COLUMNS($D21:P21)&gt;Beheer!$C$4),"",N(INDEX(Dashboard!$C$2:$AF$61,MATCH(LARGE(Dashboard!$AI$2:$AI$61,$A21),Dashboard!$AI$2:$AI$61,0),COLUMNS($D21:P21)))&amp;"/"&amp;INDEX(Beheer!$B$7:$B$36,COLUMNS($D21:P21)))</f>
        <v/>
      </c>
      <c r="Q21" s="97" t="str" cm="1">
        <f t="array" ref="Q21">IF(OR($A21="",COLUMNS($D21:Q21)&gt;Beheer!$C$4),"",N(INDEX(Dashboard!$C$2:$AF$61,MATCH(LARGE(Dashboard!$AI$2:$AI$61,$A21),Dashboard!$AI$2:$AI$61,0),COLUMNS($D21:Q21)))&amp;"/"&amp;INDEX(Beheer!$B$7:$B$36,COLUMNS($D21:Q21)))</f>
        <v/>
      </c>
      <c r="R21" s="97" t="str" cm="1">
        <f t="array" ref="R21">IF(OR($A21="",COLUMNS($D21:R21)&gt;Beheer!$C$4),"",N(INDEX(Dashboard!$C$2:$AF$61,MATCH(LARGE(Dashboard!$AI$2:$AI$61,$A21),Dashboard!$AI$2:$AI$61,0),COLUMNS($D21:R21)))&amp;"/"&amp;INDEX(Beheer!$B$7:$B$36,COLUMNS($D21:R21)))</f>
        <v/>
      </c>
      <c r="S21" s="97" t="str" cm="1">
        <f t="array" ref="S21">IF(OR($A21="",COLUMNS($D21:S21)&gt;Beheer!$C$4),"",N(INDEX(Dashboard!$C$2:$AF$61,MATCH(LARGE(Dashboard!$AI$2:$AI$61,$A21),Dashboard!$AI$2:$AI$61,0),COLUMNS($D21:S21)))&amp;"/"&amp;INDEX(Beheer!$B$7:$B$36,COLUMNS($D21:S21)))</f>
        <v/>
      </c>
      <c r="T21" s="97" t="str" cm="1">
        <f t="array" ref="T21">IF(OR($A21="",COLUMNS($D21:T21)&gt;Beheer!$C$4),"",N(INDEX(Dashboard!$C$2:$AF$61,MATCH(LARGE(Dashboard!$AI$2:$AI$61,$A21),Dashboard!$AI$2:$AI$61,0),COLUMNS($D21:T21)))&amp;"/"&amp;INDEX(Beheer!$B$7:$B$36,COLUMNS($D21:T21)))</f>
        <v/>
      </c>
      <c r="U21" s="97" t="str" cm="1">
        <f t="array" ref="U21">IF(OR($A21="",COLUMNS($D21:U21)&gt;Beheer!$C$4),"",N(INDEX(Dashboard!$C$2:$AF$61,MATCH(LARGE(Dashboard!$AI$2:$AI$61,$A21),Dashboard!$AI$2:$AI$61,0),COLUMNS($D21:U21)))&amp;"/"&amp;INDEX(Beheer!$B$7:$B$36,COLUMNS($D21:U21)))</f>
        <v/>
      </c>
      <c r="V21" s="97" t="str" cm="1">
        <f t="array" ref="V21">IF(OR($A21="",COLUMNS($D21:V21)&gt;Beheer!$C$4),"",N(INDEX(Dashboard!$C$2:$AF$61,MATCH(LARGE(Dashboard!$AI$2:$AI$61,$A21),Dashboard!$AI$2:$AI$61,0),COLUMNS($D21:V21)))&amp;"/"&amp;INDEX(Beheer!$B$7:$B$36,COLUMNS($D21:V21)))</f>
        <v/>
      </c>
      <c r="W21" s="97" t="str" cm="1">
        <f t="array" ref="W21">IF(OR($A21="",COLUMNS($D21:W21)&gt;Beheer!$C$4),"",N(INDEX(Dashboard!$C$2:$AF$61,MATCH(LARGE(Dashboard!$AI$2:$AI$61,$A21),Dashboard!$AI$2:$AI$61,0),COLUMNS($D21:W21)))&amp;"/"&amp;INDEX(Beheer!$B$7:$B$36,COLUMNS($D21:W21)))</f>
        <v/>
      </c>
      <c r="X21" s="97" t="str" cm="1">
        <f t="array" ref="X21">IF(OR($A21="",COLUMNS($D21:X21)&gt;Beheer!$C$4),"",N(INDEX(Dashboard!$C$2:$AF$61,MATCH(LARGE(Dashboard!$AI$2:$AI$61,$A21),Dashboard!$AI$2:$AI$61,0),COLUMNS($D21:X21)))&amp;"/"&amp;INDEX(Beheer!$B$7:$B$36,COLUMNS($D21:X21)))</f>
        <v/>
      </c>
      <c r="Y21" s="97" t="str" cm="1">
        <f t="array" ref="Y21">IF(OR($A21="",COLUMNS($D21:Y21)&gt;Beheer!$C$4),"",N(INDEX(Dashboard!$C$2:$AF$61,MATCH(LARGE(Dashboard!$AI$2:$AI$61,$A21),Dashboard!$AI$2:$AI$61,0),COLUMNS($D21:Y21)))&amp;"/"&amp;INDEX(Beheer!$B$7:$B$36,COLUMNS($D21:Y21)))</f>
        <v/>
      </c>
      <c r="Z21" s="97" t="str" cm="1">
        <f t="array" ref="Z21">IF(OR($A21="",COLUMNS($D21:Z21)&gt;Beheer!$C$4),"",N(INDEX(Dashboard!$C$2:$AF$61,MATCH(LARGE(Dashboard!$AI$2:$AI$61,$A21),Dashboard!$AI$2:$AI$61,0),COLUMNS($D21:Z21)))&amp;"/"&amp;INDEX(Beheer!$B$7:$B$36,COLUMNS($D21:Z21)))</f>
        <v/>
      </c>
      <c r="AA21" s="97" t="str" cm="1">
        <f t="array" ref="AA21">IF(OR($A21="",COLUMNS($D21:AA21)&gt;Beheer!$C$4),"",N(INDEX(Dashboard!$C$2:$AF$61,MATCH(LARGE(Dashboard!$AI$2:$AI$61,$A21),Dashboard!$AI$2:$AI$61,0),COLUMNS($D21:AA21)))&amp;"/"&amp;INDEX(Beheer!$B$7:$B$36,COLUMNS($D21:AA21)))</f>
        <v/>
      </c>
      <c r="AB21" s="97" t="str" cm="1">
        <f t="array" ref="AB21">IF(OR($A21="",COLUMNS($D21:AB21)&gt;Beheer!$C$4),"",N(INDEX(Dashboard!$C$2:$AF$61,MATCH(LARGE(Dashboard!$AI$2:$AI$61,$A21),Dashboard!$AI$2:$AI$61,0),COLUMNS($D21:AB21)))&amp;"/"&amp;INDEX(Beheer!$B$7:$B$36,COLUMNS($D21:AB21)))</f>
        <v/>
      </c>
      <c r="AC21" s="97" t="str" cm="1">
        <f t="array" ref="AC21">IF(OR($A21="",COLUMNS($D21:AC21)&gt;Beheer!$C$4),"",N(INDEX(Dashboard!$C$2:$AF$61,MATCH(LARGE(Dashboard!$AI$2:$AI$61,$A21),Dashboard!$AI$2:$AI$61,0),COLUMNS($D21:AC21)))&amp;"/"&amp;INDEX(Beheer!$B$7:$B$36,COLUMNS($D21:AC21)))</f>
        <v/>
      </c>
      <c r="AD21" s="97" t="str" cm="1">
        <f t="array" ref="AD21">IF(OR($A21="",COLUMNS($D21:AD21)&gt;Beheer!$C$4),"",N(INDEX(Dashboard!$C$2:$AF$61,MATCH(LARGE(Dashboard!$AI$2:$AI$61,$A21),Dashboard!$AI$2:$AI$61,0),COLUMNS($D21:AD21)))&amp;"/"&amp;INDEX(Beheer!$B$7:$B$36,COLUMNS($D21:AD21)))</f>
        <v/>
      </c>
      <c r="AE21" s="97" t="str" cm="1">
        <f t="array" ref="AE21">IF(OR($A21="",COLUMNS($D21:AE21)&gt;Beheer!$C$4),"",N(INDEX(Dashboard!$C$2:$AF$61,MATCH(LARGE(Dashboard!$AI$2:$AI$61,$A21),Dashboard!$AI$2:$AI$61,0),COLUMNS($D21:AE21)))&amp;"/"&amp;INDEX(Beheer!$B$7:$B$36,COLUMNS($D21:AE21)))</f>
        <v/>
      </c>
      <c r="AF21" s="97" t="str" cm="1">
        <f t="array" ref="AF21">IF(OR($A21="",COLUMNS($D21:AF21)&gt;Beheer!$C$4),"",N(INDEX(Dashboard!$C$2:$AF$61,MATCH(LARGE(Dashboard!$AI$2:$AI$61,$A21),Dashboard!$AI$2:$AI$61,0),COLUMNS($D21:AF21)))&amp;"/"&amp;INDEX(Beheer!$B$7:$B$36,COLUMNS($D21:AF21)))</f>
        <v/>
      </c>
      <c r="AG21" s="97" t="str" cm="1">
        <f t="array" ref="AG21">IF(OR($A21="",COLUMNS($D21:AG21)&gt;Beheer!$C$4),"",N(INDEX(Dashboard!$C$2:$AF$61,MATCH(LARGE(Dashboard!$AI$2:$AI$61,$A21),Dashboard!$AI$2:$AI$61,0),COLUMNS($D21:AG21)))&amp;"/"&amp;INDEX(Beheer!$B$7:$B$36,COLUMNS($D21:AG21)))</f>
        <v/>
      </c>
    </row>
    <row r="22" spans="1:33" ht="24" customHeight="1" thickBot="1" x14ac:dyDescent="0.5">
      <c r="A22" s="99">
        <f>IF(ROWS($A$2:A22)&gt;COUNTA(Beheer!$F$7:$F$66),"",ROWS($A$2:A22))</f>
        <v>21</v>
      </c>
      <c r="B22" s="102" t="str">
        <f>IF($A22="","",INDEX(Dashboard!$A$2:$A$61,MATCH(LARGE(Dashboard!$AI$2:$AI$61,$A22),Dashboard!$AI$2:$AI$61,0)))</f>
        <v>De Madammen</v>
      </c>
      <c r="C22" s="94" t="str">
        <f>IF($A22="","",INDEX(Dashboard!$AG$2:$AG$61,MATCH(LARGE(Dashboard!$AI$2:$AI$61,$A22),Dashboard!$AI$2:$AI$61,0))&amp;" / "&amp;INDEX(Dashboard!$AH$2:$AH$61,MATCH(LARGE(Dashboard!$AI$2:$AI$61,$A22),Dashboard!$AI$2:$AI$61,0)))</f>
        <v>62 / 130</v>
      </c>
      <c r="D22" s="95" t="str" cm="1">
        <f t="array" ref="D22">IF(OR($A22="",COLUMNS($D22:D22)&gt;Beheer!$C$4),"",N(INDEX(Dashboard!$C$2:$AF$61,MATCH(LARGE(Dashboard!$AI$2:$AI$61,$A22),Dashboard!$AI$2:$AI$61,0),COLUMNS($D22:D22)))&amp;"/"&amp;INDEX(Beheer!$B$7:$B$36,COLUMNS($D22:D22)))</f>
        <v>6/10</v>
      </c>
      <c r="E22" s="95" t="str" cm="1">
        <f t="array" ref="E22">IF(OR($A22="",COLUMNS($D22:E22)&gt;Beheer!$C$4),"",N(INDEX(Dashboard!$C$2:$AF$61,MATCH(LARGE(Dashboard!$AI$2:$AI$61,$A22),Dashboard!$AI$2:$AI$61,0),COLUMNS($D22:E22)))&amp;"/"&amp;INDEX(Beheer!$B$7:$B$36,COLUMNS($D22:E22)))</f>
        <v>3/10</v>
      </c>
      <c r="F22" s="95" t="str" cm="1">
        <f t="array" ref="F22">IF(OR($A22="",COLUMNS($D22:F22)&gt;Beheer!$C$4),"",N(INDEX(Dashboard!$C$2:$AF$61,MATCH(LARGE(Dashboard!$AI$2:$AI$61,$A22),Dashboard!$AI$2:$AI$61,0),COLUMNS($D22:F22)))&amp;"/"&amp;INDEX(Beheer!$B$7:$B$36,COLUMNS($D22:F22)))</f>
        <v>7/10</v>
      </c>
      <c r="G22" s="95" t="str" cm="1">
        <f t="array" ref="G22">IF(OR($A22="",COLUMNS($D22:G22)&gt;Beheer!$C$4),"",N(INDEX(Dashboard!$C$2:$AF$61,MATCH(LARGE(Dashboard!$AI$2:$AI$61,$A22),Dashboard!$AI$2:$AI$61,0),COLUMNS($D22:G22)))&amp;"/"&amp;INDEX(Beheer!$B$7:$B$36,COLUMNS($D22:G22)))</f>
        <v>6/20</v>
      </c>
      <c r="H22" s="95" t="str" cm="1">
        <f t="array" ref="H22">IF(OR($A22="",COLUMNS($D22:H22)&gt;Beheer!$C$4),"",N(INDEX(Dashboard!$C$2:$AF$61,MATCH(LARGE(Dashboard!$AI$2:$AI$61,$A22),Dashboard!$AI$2:$AI$61,0),COLUMNS($D22:H22)))&amp;"/"&amp;INDEX(Beheer!$B$7:$B$36,COLUMNS($D22:H22)))</f>
        <v>10/10</v>
      </c>
      <c r="I22" s="95" t="str" cm="1">
        <f t="array" ref="I22">IF(OR($A22="",COLUMNS($D22:I22)&gt;Beheer!$C$4),"",N(INDEX(Dashboard!$C$2:$AF$61,MATCH(LARGE(Dashboard!$AI$2:$AI$61,$A22),Dashboard!$AI$2:$AI$61,0),COLUMNS($D22:I22)))&amp;"/"&amp;INDEX(Beheer!$B$7:$B$36,COLUMNS($D22:I22)))</f>
        <v>5/10</v>
      </c>
      <c r="J22" s="95" t="str" cm="1">
        <f t="array" ref="J22">IF(OR($A22="",COLUMNS($D22:J22)&gt;Beheer!$C$4),"",N(INDEX(Dashboard!$C$2:$AF$61,MATCH(LARGE(Dashboard!$AI$2:$AI$61,$A22),Dashboard!$AI$2:$AI$61,0),COLUMNS($D22:J22)))&amp;"/"&amp;INDEX(Beheer!$B$7:$B$36,COLUMNS($D22:J22)))</f>
        <v>6/10</v>
      </c>
      <c r="K22" s="95" t="str" cm="1">
        <f t="array" ref="K22">IF(OR($A22="",COLUMNS($D22:K22)&gt;Beheer!$C$4),"",N(INDEX(Dashboard!$C$2:$AF$61,MATCH(LARGE(Dashboard!$AI$2:$AI$61,$A22),Dashboard!$AI$2:$AI$61,0),COLUMNS($D22:K22)))&amp;"/"&amp;INDEX(Beheer!$B$7:$B$36,COLUMNS($D22:K22)))</f>
        <v>7/15</v>
      </c>
      <c r="L22" s="95" t="str" cm="1">
        <f t="array" ref="L22">IF(OR($A22="",COLUMNS($D22:L22)&gt;Beheer!$C$4),"",N(INDEX(Dashboard!$C$2:$AF$61,MATCH(LARGE(Dashboard!$AI$2:$AI$61,$A22),Dashboard!$AI$2:$AI$61,0),COLUMNS($D22:L22)))&amp;"/"&amp;INDEX(Beheer!$B$7:$B$36,COLUMNS($D22:L22)))</f>
        <v>5/10</v>
      </c>
      <c r="M22" s="95" t="str" cm="1">
        <f t="array" ref="M22">IF(OR($A22="",COLUMNS($D22:M22)&gt;Beheer!$C$4),"",N(INDEX(Dashboard!$C$2:$AF$61,MATCH(LARGE(Dashboard!$AI$2:$AI$61,$A22),Dashboard!$AI$2:$AI$61,0),COLUMNS($D22:M22)))&amp;"/"&amp;INDEX(Beheer!$B$7:$B$36,COLUMNS($D22:M22)))</f>
        <v>1/10</v>
      </c>
      <c r="N22" s="95" t="str" cm="1">
        <f t="array" ref="N22">IF(OR($A22="",COLUMNS($D22:N22)&gt;Beheer!$C$4),"",N(INDEX(Dashboard!$C$2:$AF$61,MATCH(LARGE(Dashboard!$AI$2:$AI$61,$A22),Dashboard!$AI$2:$AI$61,0),COLUMNS($D22:N22)))&amp;"/"&amp;INDEX(Beheer!$B$7:$B$36,COLUMNS($D22:N22)))</f>
        <v>1/5</v>
      </c>
      <c r="O22" s="95" t="str" cm="1">
        <f t="array" ref="O22">IF(OR($A22="",COLUMNS($D22:O22)&gt;Beheer!$C$4),"",N(INDEX(Dashboard!$C$2:$AF$61,MATCH(LARGE(Dashboard!$AI$2:$AI$61,$A22),Dashboard!$AI$2:$AI$61,0),COLUMNS($D22:O22)))&amp;"/"&amp;INDEX(Beheer!$B$7:$B$36,COLUMNS($D22:O22)))</f>
        <v>5/10</v>
      </c>
      <c r="P22" s="95" t="str" cm="1">
        <f t="array" ref="P22">IF(OR($A22="",COLUMNS($D22:P22)&gt;Beheer!$C$4),"",N(INDEX(Dashboard!$C$2:$AF$61,MATCH(LARGE(Dashboard!$AI$2:$AI$61,$A22),Dashboard!$AI$2:$AI$61,0),COLUMNS($D22:P22)))&amp;"/"&amp;INDEX(Beheer!$B$7:$B$36,COLUMNS($D22:P22)))</f>
        <v/>
      </c>
      <c r="Q22" s="95" t="str" cm="1">
        <f t="array" ref="Q22">IF(OR($A22="",COLUMNS($D22:Q22)&gt;Beheer!$C$4),"",N(INDEX(Dashboard!$C$2:$AF$61,MATCH(LARGE(Dashboard!$AI$2:$AI$61,$A22),Dashboard!$AI$2:$AI$61,0),COLUMNS($D22:Q22)))&amp;"/"&amp;INDEX(Beheer!$B$7:$B$36,COLUMNS($D22:Q22)))</f>
        <v/>
      </c>
      <c r="R22" s="95" t="str" cm="1">
        <f t="array" ref="R22">IF(OR($A22="",COLUMNS($D22:R22)&gt;Beheer!$C$4),"",N(INDEX(Dashboard!$C$2:$AF$61,MATCH(LARGE(Dashboard!$AI$2:$AI$61,$A22),Dashboard!$AI$2:$AI$61,0),COLUMNS($D22:R22)))&amp;"/"&amp;INDEX(Beheer!$B$7:$B$36,COLUMNS($D22:R22)))</f>
        <v/>
      </c>
      <c r="S22" s="95" t="str" cm="1">
        <f t="array" ref="S22">IF(OR($A22="",COLUMNS($D22:S22)&gt;Beheer!$C$4),"",N(INDEX(Dashboard!$C$2:$AF$61,MATCH(LARGE(Dashboard!$AI$2:$AI$61,$A22),Dashboard!$AI$2:$AI$61,0),COLUMNS($D22:S22)))&amp;"/"&amp;INDEX(Beheer!$B$7:$B$36,COLUMNS($D22:S22)))</f>
        <v/>
      </c>
      <c r="T22" s="95" t="str" cm="1">
        <f t="array" ref="T22">IF(OR($A22="",COLUMNS($D22:T22)&gt;Beheer!$C$4),"",N(INDEX(Dashboard!$C$2:$AF$61,MATCH(LARGE(Dashboard!$AI$2:$AI$61,$A22),Dashboard!$AI$2:$AI$61,0),COLUMNS($D22:T22)))&amp;"/"&amp;INDEX(Beheer!$B$7:$B$36,COLUMNS($D22:T22)))</f>
        <v/>
      </c>
      <c r="U22" s="95" t="str" cm="1">
        <f t="array" ref="U22">IF(OR($A22="",COLUMNS($D22:U22)&gt;Beheer!$C$4),"",N(INDEX(Dashboard!$C$2:$AF$61,MATCH(LARGE(Dashboard!$AI$2:$AI$61,$A22),Dashboard!$AI$2:$AI$61,0),COLUMNS($D22:U22)))&amp;"/"&amp;INDEX(Beheer!$B$7:$B$36,COLUMNS($D22:U22)))</f>
        <v/>
      </c>
      <c r="V22" s="95" t="str" cm="1">
        <f t="array" ref="V22">IF(OR($A22="",COLUMNS($D22:V22)&gt;Beheer!$C$4),"",N(INDEX(Dashboard!$C$2:$AF$61,MATCH(LARGE(Dashboard!$AI$2:$AI$61,$A22),Dashboard!$AI$2:$AI$61,0),COLUMNS($D22:V22)))&amp;"/"&amp;INDEX(Beheer!$B$7:$B$36,COLUMNS($D22:V22)))</f>
        <v/>
      </c>
      <c r="W22" s="95" t="str" cm="1">
        <f t="array" ref="W22">IF(OR($A22="",COLUMNS($D22:W22)&gt;Beheer!$C$4),"",N(INDEX(Dashboard!$C$2:$AF$61,MATCH(LARGE(Dashboard!$AI$2:$AI$61,$A22),Dashboard!$AI$2:$AI$61,0),COLUMNS($D22:W22)))&amp;"/"&amp;INDEX(Beheer!$B$7:$B$36,COLUMNS($D22:W22)))</f>
        <v/>
      </c>
      <c r="X22" s="95" t="str" cm="1">
        <f t="array" ref="X22">IF(OR($A22="",COLUMNS($D22:X22)&gt;Beheer!$C$4),"",N(INDEX(Dashboard!$C$2:$AF$61,MATCH(LARGE(Dashboard!$AI$2:$AI$61,$A22),Dashboard!$AI$2:$AI$61,0),COLUMNS($D22:X22)))&amp;"/"&amp;INDEX(Beheer!$B$7:$B$36,COLUMNS($D22:X22)))</f>
        <v/>
      </c>
      <c r="Y22" s="95" t="str" cm="1">
        <f t="array" ref="Y22">IF(OR($A22="",COLUMNS($D22:Y22)&gt;Beheer!$C$4),"",N(INDEX(Dashboard!$C$2:$AF$61,MATCH(LARGE(Dashboard!$AI$2:$AI$61,$A22),Dashboard!$AI$2:$AI$61,0),COLUMNS($D22:Y22)))&amp;"/"&amp;INDEX(Beheer!$B$7:$B$36,COLUMNS($D22:Y22)))</f>
        <v/>
      </c>
      <c r="Z22" s="95" t="str" cm="1">
        <f t="array" ref="Z22">IF(OR($A22="",COLUMNS($D22:Z22)&gt;Beheer!$C$4),"",N(INDEX(Dashboard!$C$2:$AF$61,MATCH(LARGE(Dashboard!$AI$2:$AI$61,$A22),Dashboard!$AI$2:$AI$61,0),COLUMNS($D22:Z22)))&amp;"/"&amp;INDEX(Beheer!$B$7:$B$36,COLUMNS($D22:Z22)))</f>
        <v/>
      </c>
      <c r="AA22" s="95" t="str" cm="1">
        <f t="array" ref="AA22">IF(OR($A22="",COLUMNS($D22:AA22)&gt;Beheer!$C$4),"",N(INDEX(Dashboard!$C$2:$AF$61,MATCH(LARGE(Dashboard!$AI$2:$AI$61,$A22),Dashboard!$AI$2:$AI$61,0),COLUMNS($D22:AA22)))&amp;"/"&amp;INDEX(Beheer!$B$7:$B$36,COLUMNS($D22:AA22)))</f>
        <v/>
      </c>
      <c r="AB22" s="95" t="str" cm="1">
        <f t="array" ref="AB22">IF(OR($A22="",COLUMNS($D22:AB22)&gt;Beheer!$C$4),"",N(INDEX(Dashboard!$C$2:$AF$61,MATCH(LARGE(Dashboard!$AI$2:$AI$61,$A22),Dashboard!$AI$2:$AI$61,0),COLUMNS($D22:AB22)))&amp;"/"&amp;INDEX(Beheer!$B$7:$B$36,COLUMNS($D22:AB22)))</f>
        <v/>
      </c>
      <c r="AC22" s="95" t="str" cm="1">
        <f t="array" ref="AC22">IF(OR($A22="",COLUMNS($D22:AC22)&gt;Beheer!$C$4),"",N(INDEX(Dashboard!$C$2:$AF$61,MATCH(LARGE(Dashboard!$AI$2:$AI$61,$A22),Dashboard!$AI$2:$AI$61,0),COLUMNS($D22:AC22)))&amp;"/"&amp;INDEX(Beheer!$B$7:$B$36,COLUMNS($D22:AC22)))</f>
        <v/>
      </c>
      <c r="AD22" s="95" t="str" cm="1">
        <f t="array" ref="AD22">IF(OR($A22="",COLUMNS($D22:AD22)&gt;Beheer!$C$4),"",N(INDEX(Dashboard!$C$2:$AF$61,MATCH(LARGE(Dashboard!$AI$2:$AI$61,$A22),Dashboard!$AI$2:$AI$61,0),COLUMNS($D22:AD22)))&amp;"/"&amp;INDEX(Beheer!$B$7:$B$36,COLUMNS($D22:AD22)))</f>
        <v/>
      </c>
      <c r="AE22" s="95" t="str" cm="1">
        <f t="array" ref="AE22">IF(OR($A22="",COLUMNS($D22:AE22)&gt;Beheer!$C$4),"",N(INDEX(Dashboard!$C$2:$AF$61,MATCH(LARGE(Dashboard!$AI$2:$AI$61,$A22),Dashboard!$AI$2:$AI$61,0),COLUMNS($D22:AE22)))&amp;"/"&amp;INDEX(Beheer!$B$7:$B$36,COLUMNS($D22:AE22)))</f>
        <v/>
      </c>
      <c r="AF22" s="95" t="str" cm="1">
        <f t="array" ref="AF22">IF(OR($A22="",COLUMNS($D22:AF22)&gt;Beheer!$C$4),"",N(INDEX(Dashboard!$C$2:$AF$61,MATCH(LARGE(Dashboard!$AI$2:$AI$61,$A22),Dashboard!$AI$2:$AI$61,0),COLUMNS($D22:AF22)))&amp;"/"&amp;INDEX(Beheer!$B$7:$B$36,COLUMNS($D22:AF22)))</f>
        <v/>
      </c>
      <c r="AG22" s="95" t="str" cm="1">
        <f t="array" ref="AG22">IF(OR($A22="",COLUMNS($D22:AG22)&gt;Beheer!$C$4),"",N(INDEX(Dashboard!$C$2:$AF$61,MATCH(LARGE(Dashboard!$AI$2:$AI$61,$A22),Dashboard!$AI$2:$AI$61,0),COLUMNS($D22:AG22)))&amp;"/"&amp;INDEX(Beheer!$B$7:$B$36,COLUMNS($D22:AG22)))</f>
        <v/>
      </c>
    </row>
    <row r="23" spans="1:33" ht="24" customHeight="1" thickBot="1" x14ac:dyDescent="0.5">
      <c r="A23" s="98">
        <f>IF(ROWS($A$2:A23)&gt;COUNTA(Beheer!$F$7:$F$66),"",ROWS($A$2:A23))</f>
        <v>22</v>
      </c>
      <c r="B23" s="101" t="str">
        <f>IF($A23="","",INDEX(Dashboard!$A$2:$A$61,MATCH(LARGE(Dashboard!$AI$2:$AI$61,$A23),Dashboard!$AI$2:$AI$61,0)))</f>
        <v>De Bierbuiken</v>
      </c>
      <c r="C23" s="96" t="str">
        <f>IF($A23="","",INDEX(Dashboard!$AG$2:$AG$61,MATCH(LARGE(Dashboard!$AI$2:$AI$61,$A23),Dashboard!$AI$2:$AI$61,0))&amp;" / "&amp;INDEX(Dashboard!$AH$2:$AH$61,MATCH(LARGE(Dashboard!$AI$2:$AI$61,$A23),Dashboard!$AI$2:$AI$61,0)))</f>
        <v>59 / 130</v>
      </c>
      <c r="D23" s="97" t="str" cm="1">
        <f t="array" ref="D23">IF(OR($A23="",COLUMNS($D23:D23)&gt;Beheer!$C$4),"",N(INDEX(Dashboard!$C$2:$AF$61,MATCH(LARGE(Dashboard!$AI$2:$AI$61,$A23),Dashboard!$AI$2:$AI$61,0),COLUMNS($D23:D23)))&amp;"/"&amp;INDEX(Beheer!$B$7:$B$36,COLUMNS($D23:D23)))</f>
        <v>3/10</v>
      </c>
      <c r="E23" s="97" t="str" cm="1">
        <f t="array" ref="E23">IF(OR($A23="",COLUMNS($D23:E23)&gt;Beheer!$C$4),"",N(INDEX(Dashboard!$C$2:$AF$61,MATCH(LARGE(Dashboard!$AI$2:$AI$61,$A23),Dashboard!$AI$2:$AI$61,0),COLUMNS($D23:E23)))&amp;"/"&amp;INDEX(Beheer!$B$7:$B$36,COLUMNS($D23:E23)))</f>
        <v>1/10</v>
      </c>
      <c r="F23" s="97" t="str" cm="1">
        <f t="array" ref="F23">IF(OR($A23="",COLUMNS($D23:F23)&gt;Beheer!$C$4),"",N(INDEX(Dashboard!$C$2:$AF$61,MATCH(LARGE(Dashboard!$AI$2:$AI$61,$A23),Dashboard!$AI$2:$AI$61,0),COLUMNS($D23:F23)))&amp;"/"&amp;INDEX(Beheer!$B$7:$B$36,COLUMNS($D23:F23)))</f>
        <v>5/10</v>
      </c>
      <c r="G23" s="97" t="str" cm="1">
        <f t="array" ref="G23">IF(OR($A23="",COLUMNS($D23:G23)&gt;Beheer!$C$4),"",N(INDEX(Dashboard!$C$2:$AF$61,MATCH(LARGE(Dashboard!$AI$2:$AI$61,$A23),Dashboard!$AI$2:$AI$61,0),COLUMNS($D23:G23)))&amp;"/"&amp;INDEX(Beheer!$B$7:$B$36,COLUMNS($D23:G23)))</f>
        <v>8/20</v>
      </c>
      <c r="H23" s="97" t="str" cm="1">
        <f t="array" ref="H23">IF(OR($A23="",COLUMNS($D23:H23)&gt;Beheer!$C$4),"",N(INDEX(Dashboard!$C$2:$AF$61,MATCH(LARGE(Dashboard!$AI$2:$AI$61,$A23),Dashboard!$AI$2:$AI$61,0),COLUMNS($D23:H23)))&amp;"/"&amp;INDEX(Beheer!$B$7:$B$36,COLUMNS($D23:H23)))</f>
        <v>1/10</v>
      </c>
      <c r="I23" s="97" t="str" cm="1">
        <f t="array" ref="I23">IF(OR($A23="",COLUMNS($D23:I23)&gt;Beheer!$C$4),"",N(INDEX(Dashboard!$C$2:$AF$61,MATCH(LARGE(Dashboard!$AI$2:$AI$61,$A23),Dashboard!$AI$2:$AI$61,0),COLUMNS($D23:I23)))&amp;"/"&amp;INDEX(Beheer!$B$7:$B$36,COLUMNS($D23:I23)))</f>
        <v>5/10</v>
      </c>
      <c r="J23" s="97" t="str" cm="1">
        <f t="array" ref="J23">IF(OR($A23="",COLUMNS($D23:J23)&gt;Beheer!$C$4),"",N(INDEX(Dashboard!$C$2:$AF$61,MATCH(LARGE(Dashboard!$AI$2:$AI$61,$A23),Dashboard!$AI$2:$AI$61,0),COLUMNS($D23:J23)))&amp;"/"&amp;INDEX(Beheer!$B$7:$B$36,COLUMNS($D23:J23)))</f>
        <v>9/10</v>
      </c>
      <c r="K23" s="97" t="str" cm="1">
        <f t="array" ref="K23">IF(OR($A23="",COLUMNS($D23:K23)&gt;Beheer!$C$4),"",N(INDEX(Dashboard!$C$2:$AF$61,MATCH(LARGE(Dashboard!$AI$2:$AI$61,$A23),Dashboard!$AI$2:$AI$61,0),COLUMNS($D23:K23)))&amp;"/"&amp;INDEX(Beheer!$B$7:$B$36,COLUMNS($D23:K23)))</f>
        <v>8/15</v>
      </c>
      <c r="L23" s="97" t="str" cm="1">
        <f t="array" ref="L23">IF(OR($A23="",COLUMNS($D23:L23)&gt;Beheer!$C$4),"",N(INDEX(Dashboard!$C$2:$AF$61,MATCH(LARGE(Dashboard!$AI$2:$AI$61,$A23),Dashboard!$AI$2:$AI$61,0),COLUMNS($D23:L23)))&amp;"/"&amp;INDEX(Beheer!$B$7:$B$36,COLUMNS($D23:L23)))</f>
        <v>4/10</v>
      </c>
      <c r="M23" s="97" t="str" cm="1">
        <f t="array" ref="M23">IF(OR($A23="",COLUMNS($D23:M23)&gt;Beheer!$C$4),"",N(INDEX(Dashboard!$C$2:$AF$61,MATCH(LARGE(Dashboard!$AI$2:$AI$61,$A23),Dashboard!$AI$2:$AI$61,0),COLUMNS($D23:M23)))&amp;"/"&amp;INDEX(Beheer!$B$7:$B$36,COLUMNS($D23:M23)))</f>
        <v>5/10</v>
      </c>
      <c r="N23" s="97" t="str" cm="1">
        <f t="array" ref="N23">IF(OR($A23="",COLUMNS($D23:N23)&gt;Beheer!$C$4),"",N(INDEX(Dashboard!$C$2:$AF$61,MATCH(LARGE(Dashboard!$AI$2:$AI$61,$A23),Dashboard!$AI$2:$AI$61,0),COLUMNS($D23:N23)))&amp;"/"&amp;INDEX(Beheer!$B$7:$B$36,COLUMNS($D23:N23)))</f>
        <v>2/5</v>
      </c>
      <c r="O23" s="97" t="str" cm="1">
        <f t="array" ref="O23">IF(OR($A23="",COLUMNS($D23:O23)&gt;Beheer!$C$4),"",N(INDEX(Dashboard!$C$2:$AF$61,MATCH(LARGE(Dashboard!$AI$2:$AI$61,$A23),Dashboard!$AI$2:$AI$61,0),COLUMNS($D23:O23)))&amp;"/"&amp;INDEX(Beheer!$B$7:$B$36,COLUMNS($D23:O23)))</f>
        <v>8/10</v>
      </c>
      <c r="P23" s="97" t="str" cm="1">
        <f t="array" ref="P23">IF(OR($A23="",COLUMNS($D23:P23)&gt;Beheer!$C$4),"",N(INDEX(Dashboard!$C$2:$AF$61,MATCH(LARGE(Dashboard!$AI$2:$AI$61,$A23),Dashboard!$AI$2:$AI$61,0),COLUMNS($D23:P23)))&amp;"/"&amp;INDEX(Beheer!$B$7:$B$36,COLUMNS($D23:P23)))</f>
        <v/>
      </c>
      <c r="Q23" s="97" t="str" cm="1">
        <f t="array" ref="Q23">IF(OR($A23="",COLUMNS($D23:Q23)&gt;Beheer!$C$4),"",N(INDEX(Dashboard!$C$2:$AF$61,MATCH(LARGE(Dashboard!$AI$2:$AI$61,$A23),Dashboard!$AI$2:$AI$61,0),COLUMNS($D23:Q23)))&amp;"/"&amp;INDEX(Beheer!$B$7:$B$36,COLUMNS($D23:Q23)))</f>
        <v/>
      </c>
      <c r="R23" s="97" t="str" cm="1">
        <f t="array" ref="R23">IF(OR($A23="",COLUMNS($D23:R23)&gt;Beheer!$C$4),"",N(INDEX(Dashboard!$C$2:$AF$61,MATCH(LARGE(Dashboard!$AI$2:$AI$61,$A23),Dashboard!$AI$2:$AI$61,0),COLUMNS($D23:R23)))&amp;"/"&amp;INDEX(Beheer!$B$7:$B$36,COLUMNS($D23:R23)))</f>
        <v/>
      </c>
      <c r="S23" s="97" t="str" cm="1">
        <f t="array" ref="S23">IF(OR($A23="",COLUMNS($D23:S23)&gt;Beheer!$C$4),"",N(INDEX(Dashboard!$C$2:$AF$61,MATCH(LARGE(Dashboard!$AI$2:$AI$61,$A23),Dashboard!$AI$2:$AI$61,0),COLUMNS($D23:S23)))&amp;"/"&amp;INDEX(Beheer!$B$7:$B$36,COLUMNS($D23:S23)))</f>
        <v/>
      </c>
      <c r="T23" s="97" t="str" cm="1">
        <f t="array" ref="T23">IF(OR($A23="",COLUMNS($D23:T23)&gt;Beheer!$C$4),"",N(INDEX(Dashboard!$C$2:$AF$61,MATCH(LARGE(Dashboard!$AI$2:$AI$61,$A23),Dashboard!$AI$2:$AI$61,0),COLUMNS($D23:T23)))&amp;"/"&amp;INDEX(Beheer!$B$7:$B$36,COLUMNS($D23:T23)))</f>
        <v/>
      </c>
      <c r="U23" s="97" t="str" cm="1">
        <f t="array" ref="U23">IF(OR($A23="",COLUMNS($D23:U23)&gt;Beheer!$C$4),"",N(INDEX(Dashboard!$C$2:$AF$61,MATCH(LARGE(Dashboard!$AI$2:$AI$61,$A23),Dashboard!$AI$2:$AI$61,0),COLUMNS($D23:U23)))&amp;"/"&amp;INDEX(Beheer!$B$7:$B$36,COLUMNS($D23:U23)))</f>
        <v/>
      </c>
      <c r="V23" s="97" t="str" cm="1">
        <f t="array" ref="V23">IF(OR($A23="",COLUMNS($D23:V23)&gt;Beheer!$C$4),"",N(INDEX(Dashboard!$C$2:$AF$61,MATCH(LARGE(Dashboard!$AI$2:$AI$61,$A23),Dashboard!$AI$2:$AI$61,0),COLUMNS($D23:V23)))&amp;"/"&amp;INDEX(Beheer!$B$7:$B$36,COLUMNS($D23:V23)))</f>
        <v/>
      </c>
      <c r="W23" s="97" t="str" cm="1">
        <f t="array" ref="W23">IF(OR($A23="",COLUMNS($D23:W23)&gt;Beheer!$C$4),"",N(INDEX(Dashboard!$C$2:$AF$61,MATCH(LARGE(Dashboard!$AI$2:$AI$61,$A23),Dashboard!$AI$2:$AI$61,0),COLUMNS($D23:W23)))&amp;"/"&amp;INDEX(Beheer!$B$7:$B$36,COLUMNS($D23:W23)))</f>
        <v/>
      </c>
      <c r="X23" s="97" t="str" cm="1">
        <f t="array" ref="X23">IF(OR($A23="",COLUMNS($D23:X23)&gt;Beheer!$C$4),"",N(INDEX(Dashboard!$C$2:$AF$61,MATCH(LARGE(Dashboard!$AI$2:$AI$61,$A23),Dashboard!$AI$2:$AI$61,0),COLUMNS($D23:X23)))&amp;"/"&amp;INDEX(Beheer!$B$7:$B$36,COLUMNS($D23:X23)))</f>
        <v/>
      </c>
      <c r="Y23" s="97" t="str" cm="1">
        <f t="array" ref="Y23">IF(OR($A23="",COLUMNS($D23:Y23)&gt;Beheer!$C$4),"",N(INDEX(Dashboard!$C$2:$AF$61,MATCH(LARGE(Dashboard!$AI$2:$AI$61,$A23),Dashboard!$AI$2:$AI$61,0),COLUMNS($D23:Y23)))&amp;"/"&amp;INDEX(Beheer!$B$7:$B$36,COLUMNS($D23:Y23)))</f>
        <v/>
      </c>
      <c r="Z23" s="97" t="str" cm="1">
        <f t="array" ref="Z23">IF(OR($A23="",COLUMNS($D23:Z23)&gt;Beheer!$C$4),"",N(INDEX(Dashboard!$C$2:$AF$61,MATCH(LARGE(Dashboard!$AI$2:$AI$61,$A23),Dashboard!$AI$2:$AI$61,0),COLUMNS($D23:Z23)))&amp;"/"&amp;INDEX(Beheer!$B$7:$B$36,COLUMNS($D23:Z23)))</f>
        <v/>
      </c>
      <c r="AA23" s="97" t="str" cm="1">
        <f t="array" ref="AA23">IF(OR($A23="",COLUMNS($D23:AA23)&gt;Beheer!$C$4),"",N(INDEX(Dashboard!$C$2:$AF$61,MATCH(LARGE(Dashboard!$AI$2:$AI$61,$A23),Dashboard!$AI$2:$AI$61,0),COLUMNS($D23:AA23)))&amp;"/"&amp;INDEX(Beheer!$B$7:$B$36,COLUMNS($D23:AA23)))</f>
        <v/>
      </c>
      <c r="AB23" s="97" t="str" cm="1">
        <f t="array" ref="AB23">IF(OR($A23="",COLUMNS($D23:AB23)&gt;Beheer!$C$4),"",N(INDEX(Dashboard!$C$2:$AF$61,MATCH(LARGE(Dashboard!$AI$2:$AI$61,$A23),Dashboard!$AI$2:$AI$61,0),COLUMNS($D23:AB23)))&amp;"/"&amp;INDEX(Beheer!$B$7:$B$36,COLUMNS($D23:AB23)))</f>
        <v/>
      </c>
      <c r="AC23" s="97" t="str" cm="1">
        <f t="array" ref="AC23">IF(OR($A23="",COLUMNS($D23:AC23)&gt;Beheer!$C$4),"",N(INDEX(Dashboard!$C$2:$AF$61,MATCH(LARGE(Dashboard!$AI$2:$AI$61,$A23),Dashboard!$AI$2:$AI$61,0),COLUMNS($D23:AC23)))&amp;"/"&amp;INDEX(Beheer!$B$7:$B$36,COLUMNS($D23:AC23)))</f>
        <v/>
      </c>
      <c r="AD23" s="97" t="str" cm="1">
        <f t="array" ref="AD23">IF(OR($A23="",COLUMNS($D23:AD23)&gt;Beheer!$C$4),"",N(INDEX(Dashboard!$C$2:$AF$61,MATCH(LARGE(Dashboard!$AI$2:$AI$61,$A23),Dashboard!$AI$2:$AI$61,0),COLUMNS($D23:AD23)))&amp;"/"&amp;INDEX(Beheer!$B$7:$B$36,COLUMNS($D23:AD23)))</f>
        <v/>
      </c>
      <c r="AE23" s="97" t="str" cm="1">
        <f t="array" ref="AE23">IF(OR($A23="",COLUMNS($D23:AE23)&gt;Beheer!$C$4),"",N(INDEX(Dashboard!$C$2:$AF$61,MATCH(LARGE(Dashboard!$AI$2:$AI$61,$A23),Dashboard!$AI$2:$AI$61,0),COLUMNS($D23:AE23)))&amp;"/"&amp;INDEX(Beheer!$B$7:$B$36,COLUMNS($D23:AE23)))</f>
        <v/>
      </c>
      <c r="AF23" s="97" t="str" cm="1">
        <f t="array" ref="AF23">IF(OR($A23="",COLUMNS($D23:AF23)&gt;Beheer!$C$4),"",N(INDEX(Dashboard!$C$2:$AF$61,MATCH(LARGE(Dashboard!$AI$2:$AI$61,$A23),Dashboard!$AI$2:$AI$61,0),COLUMNS($D23:AF23)))&amp;"/"&amp;INDEX(Beheer!$B$7:$B$36,COLUMNS($D23:AF23)))</f>
        <v/>
      </c>
      <c r="AG23" s="97" t="str" cm="1">
        <f t="array" ref="AG23">IF(OR($A23="",COLUMNS($D23:AG23)&gt;Beheer!$C$4),"",N(INDEX(Dashboard!$C$2:$AF$61,MATCH(LARGE(Dashboard!$AI$2:$AI$61,$A23),Dashboard!$AI$2:$AI$61,0),COLUMNS($D23:AG23)))&amp;"/"&amp;INDEX(Beheer!$B$7:$B$36,COLUMNS($D23:AG23)))</f>
        <v/>
      </c>
    </row>
    <row r="24" spans="1:33" ht="24" customHeight="1" thickBot="1" x14ac:dyDescent="0.5">
      <c r="A24" s="99">
        <f>IF(ROWS($A$2:A24)&gt;COUNTA(Beheer!$F$7:$F$66),"",ROWS($A$2:A24))</f>
        <v>23</v>
      </c>
      <c r="B24" s="102" t="str">
        <f>IF($A24="","",INDEX(Dashboard!$A$2:$A$61,MATCH(LARGE(Dashboard!$AI$2:$AI$61,$A24),Dashboard!$AI$2:$AI$61,0)))</f>
        <v>Gentse Feestneuzen</v>
      </c>
      <c r="C24" s="94" t="str">
        <f>IF($A24="","",INDEX(Dashboard!$AG$2:$AG$61,MATCH(LARGE(Dashboard!$AI$2:$AI$61,$A24),Dashboard!$AI$2:$AI$61,0))&amp;" / "&amp;INDEX(Dashboard!$AH$2:$AH$61,MATCH(LARGE(Dashboard!$AI$2:$AI$61,$A24),Dashboard!$AI$2:$AI$61,0)))</f>
        <v>58 / 130</v>
      </c>
      <c r="D24" s="95" t="str" cm="1">
        <f t="array" ref="D24">IF(OR($A24="",COLUMNS($D24:D24)&gt;Beheer!$C$4),"",N(INDEX(Dashboard!$C$2:$AF$61,MATCH(LARGE(Dashboard!$AI$2:$AI$61,$A24),Dashboard!$AI$2:$AI$61,0),COLUMNS($D24:D24)))&amp;"/"&amp;INDEX(Beheer!$B$7:$B$36,COLUMNS($D24:D24)))</f>
        <v>1/10</v>
      </c>
      <c r="E24" s="95" t="str" cm="1">
        <f t="array" ref="E24">IF(OR($A24="",COLUMNS($D24:E24)&gt;Beheer!$C$4),"",N(INDEX(Dashboard!$C$2:$AF$61,MATCH(LARGE(Dashboard!$AI$2:$AI$61,$A24),Dashboard!$AI$2:$AI$61,0),COLUMNS($D24:E24)))&amp;"/"&amp;INDEX(Beheer!$B$7:$B$36,COLUMNS($D24:E24)))</f>
        <v>1/10</v>
      </c>
      <c r="F24" s="95" t="str" cm="1">
        <f t="array" ref="F24">IF(OR($A24="",COLUMNS($D24:F24)&gt;Beheer!$C$4),"",N(INDEX(Dashboard!$C$2:$AF$61,MATCH(LARGE(Dashboard!$AI$2:$AI$61,$A24),Dashboard!$AI$2:$AI$61,0),COLUMNS($D24:F24)))&amp;"/"&amp;INDEX(Beheer!$B$7:$B$36,COLUMNS($D24:F24)))</f>
        <v>6/10</v>
      </c>
      <c r="G24" s="95" t="str" cm="1">
        <f t="array" ref="G24">IF(OR($A24="",COLUMNS($D24:G24)&gt;Beheer!$C$4),"",N(INDEX(Dashboard!$C$2:$AF$61,MATCH(LARGE(Dashboard!$AI$2:$AI$61,$A24),Dashboard!$AI$2:$AI$61,0),COLUMNS($D24:G24)))&amp;"/"&amp;INDEX(Beheer!$B$7:$B$36,COLUMNS($D24:G24)))</f>
        <v>2/20</v>
      </c>
      <c r="H24" s="95" t="str" cm="1">
        <f t="array" ref="H24">IF(OR($A24="",COLUMNS($D24:H24)&gt;Beheer!$C$4),"",N(INDEX(Dashboard!$C$2:$AF$61,MATCH(LARGE(Dashboard!$AI$2:$AI$61,$A24),Dashboard!$AI$2:$AI$61,0),COLUMNS($D24:H24)))&amp;"/"&amp;INDEX(Beheer!$B$7:$B$36,COLUMNS($D24:H24)))</f>
        <v>2/10</v>
      </c>
      <c r="I24" s="95" t="str" cm="1">
        <f t="array" ref="I24">IF(OR($A24="",COLUMNS($D24:I24)&gt;Beheer!$C$4),"",N(INDEX(Dashboard!$C$2:$AF$61,MATCH(LARGE(Dashboard!$AI$2:$AI$61,$A24),Dashboard!$AI$2:$AI$61,0),COLUMNS($D24:I24)))&amp;"/"&amp;INDEX(Beheer!$B$7:$B$36,COLUMNS($D24:I24)))</f>
        <v>7/10</v>
      </c>
      <c r="J24" s="95" t="str" cm="1">
        <f t="array" ref="J24">IF(OR($A24="",COLUMNS($D24:J24)&gt;Beheer!$C$4),"",N(INDEX(Dashboard!$C$2:$AF$61,MATCH(LARGE(Dashboard!$AI$2:$AI$61,$A24),Dashboard!$AI$2:$AI$61,0),COLUMNS($D24:J24)))&amp;"/"&amp;INDEX(Beheer!$B$7:$B$36,COLUMNS($D24:J24)))</f>
        <v>10/10</v>
      </c>
      <c r="K24" s="95" t="str" cm="1">
        <f t="array" ref="K24">IF(OR($A24="",COLUMNS($D24:K24)&gt;Beheer!$C$4),"",N(INDEX(Dashboard!$C$2:$AF$61,MATCH(LARGE(Dashboard!$AI$2:$AI$61,$A24),Dashboard!$AI$2:$AI$61,0),COLUMNS($D24:K24)))&amp;"/"&amp;INDEX(Beheer!$B$7:$B$36,COLUMNS($D24:K24)))</f>
        <v>6/15</v>
      </c>
      <c r="L24" s="95" t="str" cm="1">
        <f t="array" ref="L24">IF(OR($A24="",COLUMNS($D24:L24)&gt;Beheer!$C$4),"",N(INDEX(Dashboard!$C$2:$AF$61,MATCH(LARGE(Dashboard!$AI$2:$AI$61,$A24),Dashboard!$AI$2:$AI$61,0),COLUMNS($D24:L24)))&amp;"/"&amp;INDEX(Beheer!$B$7:$B$36,COLUMNS($D24:L24)))</f>
        <v>9/10</v>
      </c>
      <c r="M24" s="95" t="str" cm="1">
        <f t="array" ref="M24">IF(OR($A24="",COLUMNS($D24:M24)&gt;Beheer!$C$4),"",N(INDEX(Dashboard!$C$2:$AF$61,MATCH(LARGE(Dashboard!$AI$2:$AI$61,$A24),Dashboard!$AI$2:$AI$61,0),COLUMNS($D24:M24)))&amp;"/"&amp;INDEX(Beheer!$B$7:$B$36,COLUMNS($D24:M24)))</f>
        <v>8/10</v>
      </c>
      <c r="N24" s="95" t="str" cm="1">
        <f t="array" ref="N24">IF(OR($A24="",COLUMNS($D24:N24)&gt;Beheer!$C$4),"",N(INDEX(Dashboard!$C$2:$AF$61,MATCH(LARGE(Dashboard!$AI$2:$AI$61,$A24),Dashboard!$AI$2:$AI$61,0),COLUMNS($D24:N24)))&amp;"/"&amp;INDEX(Beheer!$B$7:$B$36,COLUMNS($D24:N24)))</f>
        <v>5/5</v>
      </c>
      <c r="O24" s="95" t="str" cm="1">
        <f t="array" ref="O24">IF(OR($A24="",COLUMNS($D24:O24)&gt;Beheer!$C$4),"",N(INDEX(Dashboard!$C$2:$AF$61,MATCH(LARGE(Dashboard!$AI$2:$AI$61,$A24),Dashboard!$AI$2:$AI$61,0),COLUMNS($D24:O24)))&amp;"/"&amp;INDEX(Beheer!$B$7:$B$36,COLUMNS($D24:O24)))</f>
        <v>1/10</v>
      </c>
      <c r="P24" s="95" t="str" cm="1">
        <f t="array" ref="P24">IF(OR($A24="",COLUMNS($D24:P24)&gt;Beheer!$C$4),"",N(INDEX(Dashboard!$C$2:$AF$61,MATCH(LARGE(Dashboard!$AI$2:$AI$61,$A24),Dashboard!$AI$2:$AI$61,0),COLUMNS($D24:P24)))&amp;"/"&amp;INDEX(Beheer!$B$7:$B$36,COLUMNS($D24:P24)))</f>
        <v/>
      </c>
      <c r="Q24" s="95" t="str" cm="1">
        <f t="array" ref="Q24">IF(OR($A24="",COLUMNS($D24:Q24)&gt;Beheer!$C$4),"",N(INDEX(Dashboard!$C$2:$AF$61,MATCH(LARGE(Dashboard!$AI$2:$AI$61,$A24),Dashboard!$AI$2:$AI$61,0),COLUMNS($D24:Q24)))&amp;"/"&amp;INDEX(Beheer!$B$7:$B$36,COLUMNS($D24:Q24)))</f>
        <v/>
      </c>
      <c r="R24" s="95" t="str" cm="1">
        <f t="array" ref="R24">IF(OR($A24="",COLUMNS($D24:R24)&gt;Beheer!$C$4),"",N(INDEX(Dashboard!$C$2:$AF$61,MATCH(LARGE(Dashboard!$AI$2:$AI$61,$A24),Dashboard!$AI$2:$AI$61,0),COLUMNS($D24:R24)))&amp;"/"&amp;INDEX(Beheer!$B$7:$B$36,COLUMNS($D24:R24)))</f>
        <v/>
      </c>
      <c r="S24" s="95" t="str" cm="1">
        <f t="array" ref="S24">IF(OR($A24="",COLUMNS($D24:S24)&gt;Beheer!$C$4),"",N(INDEX(Dashboard!$C$2:$AF$61,MATCH(LARGE(Dashboard!$AI$2:$AI$61,$A24),Dashboard!$AI$2:$AI$61,0),COLUMNS($D24:S24)))&amp;"/"&amp;INDEX(Beheer!$B$7:$B$36,COLUMNS($D24:S24)))</f>
        <v/>
      </c>
      <c r="T24" s="95" t="str" cm="1">
        <f t="array" ref="T24">IF(OR($A24="",COLUMNS($D24:T24)&gt;Beheer!$C$4),"",N(INDEX(Dashboard!$C$2:$AF$61,MATCH(LARGE(Dashboard!$AI$2:$AI$61,$A24),Dashboard!$AI$2:$AI$61,0),COLUMNS($D24:T24)))&amp;"/"&amp;INDEX(Beheer!$B$7:$B$36,COLUMNS($D24:T24)))</f>
        <v/>
      </c>
      <c r="U24" s="95" t="str" cm="1">
        <f t="array" ref="U24">IF(OR($A24="",COLUMNS($D24:U24)&gt;Beheer!$C$4),"",N(INDEX(Dashboard!$C$2:$AF$61,MATCH(LARGE(Dashboard!$AI$2:$AI$61,$A24),Dashboard!$AI$2:$AI$61,0),COLUMNS($D24:U24)))&amp;"/"&amp;INDEX(Beheer!$B$7:$B$36,COLUMNS($D24:U24)))</f>
        <v/>
      </c>
      <c r="V24" s="95" t="str" cm="1">
        <f t="array" ref="V24">IF(OR($A24="",COLUMNS($D24:V24)&gt;Beheer!$C$4),"",N(INDEX(Dashboard!$C$2:$AF$61,MATCH(LARGE(Dashboard!$AI$2:$AI$61,$A24),Dashboard!$AI$2:$AI$61,0),COLUMNS($D24:V24)))&amp;"/"&amp;INDEX(Beheer!$B$7:$B$36,COLUMNS($D24:V24)))</f>
        <v/>
      </c>
      <c r="W24" s="95" t="str" cm="1">
        <f t="array" ref="W24">IF(OR($A24="",COLUMNS($D24:W24)&gt;Beheer!$C$4),"",N(INDEX(Dashboard!$C$2:$AF$61,MATCH(LARGE(Dashboard!$AI$2:$AI$61,$A24),Dashboard!$AI$2:$AI$61,0),COLUMNS($D24:W24)))&amp;"/"&amp;INDEX(Beheer!$B$7:$B$36,COLUMNS($D24:W24)))</f>
        <v/>
      </c>
      <c r="X24" s="95" t="str" cm="1">
        <f t="array" ref="X24">IF(OR($A24="",COLUMNS($D24:X24)&gt;Beheer!$C$4),"",N(INDEX(Dashboard!$C$2:$AF$61,MATCH(LARGE(Dashboard!$AI$2:$AI$61,$A24),Dashboard!$AI$2:$AI$61,0),COLUMNS($D24:X24)))&amp;"/"&amp;INDEX(Beheer!$B$7:$B$36,COLUMNS($D24:X24)))</f>
        <v/>
      </c>
      <c r="Y24" s="95" t="str" cm="1">
        <f t="array" ref="Y24">IF(OR($A24="",COLUMNS($D24:Y24)&gt;Beheer!$C$4),"",N(INDEX(Dashboard!$C$2:$AF$61,MATCH(LARGE(Dashboard!$AI$2:$AI$61,$A24),Dashboard!$AI$2:$AI$61,0),COLUMNS($D24:Y24)))&amp;"/"&amp;INDEX(Beheer!$B$7:$B$36,COLUMNS($D24:Y24)))</f>
        <v/>
      </c>
      <c r="Z24" s="95" t="str" cm="1">
        <f t="array" ref="Z24">IF(OR($A24="",COLUMNS($D24:Z24)&gt;Beheer!$C$4),"",N(INDEX(Dashboard!$C$2:$AF$61,MATCH(LARGE(Dashboard!$AI$2:$AI$61,$A24),Dashboard!$AI$2:$AI$61,0),COLUMNS($D24:Z24)))&amp;"/"&amp;INDEX(Beheer!$B$7:$B$36,COLUMNS($D24:Z24)))</f>
        <v/>
      </c>
      <c r="AA24" s="95" t="str" cm="1">
        <f t="array" ref="AA24">IF(OR($A24="",COLUMNS($D24:AA24)&gt;Beheer!$C$4),"",N(INDEX(Dashboard!$C$2:$AF$61,MATCH(LARGE(Dashboard!$AI$2:$AI$61,$A24),Dashboard!$AI$2:$AI$61,0),COLUMNS($D24:AA24)))&amp;"/"&amp;INDEX(Beheer!$B$7:$B$36,COLUMNS($D24:AA24)))</f>
        <v/>
      </c>
      <c r="AB24" s="95" t="str" cm="1">
        <f t="array" ref="AB24">IF(OR($A24="",COLUMNS($D24:AB24)&gt;Beheer!$C$4),"",N(INDEX(Dashboard!$C$2:$AF$61,MATCH(LARGE(Dashboard!$AI$2:$AI$61,$A24),Dashboard!$AI$2:$AI$61,0),COLUMNS($D24:AB24)))&amp;"/"&amp;INDEX(Beheer!$B$7:$B$36,COLUMNS($D24:AB24)))</f>
        <v/>
      </c>
      <c r="AC24" s="95" t="str" cm="1">
        <f t="array" ref="AC24">IF(OR($A24="",COLUMNS($D24:AC24)&gt;Beheer!$C$4),"",N(INDEX(Dashboard!$C$2:$AF$61,MATCH(LARGE(Dashboard!$AI$2:$AI$61,$A24),Dashboard!$AI$2:$AI$61,0),COLUMNS($D24:AC24)))&amp;"/"&amp;INDEX(Beheer!$B$7:$B$36,COLUMNS($D24:AC24)))</f>
        <v/>
      </c>
      <c r="AD24" s="95" t="str" cm="1">
        <f t="array" ref="AD24">IF(OR($A24="",COLUMNS($D24:AD24)&gt;Beheer!$C$4),"",N(INDEX(Dashboard!$C$2:$AF$61,MATCH(LARGE(Dashboard!$AI$2:$AI$61,$A24),Dashboard!$AI$2:$AI$61,0),COLUMNS($D24:AD24)))&amp;"/"&amp;INDEX(Beheer!$B$7:$B$36,COLUMNS($D24:AD24)))</f>
        <v/>
      </c>
      <c r="AE24" s="95" t="str" cm="1">
        <f t="array" ref="AE24">IF(OR($A24="",COLUMNS($D24:AE24)&gt;Beheer!$C$4),"",N(INDEX(Dashboard!$C$2:$AF$61,MATCH(LARGE(Dashboard!$AI$2:$AI$61,$A24),Dashboard!$AI$2:$AI$61,0),COLUMNS($D24:AE24)))&amp;"/"&amp;INDEX(Beheer!$B$7:$B$36,COLUMNS($D24:AE24)))</f>
        <v/>
      </c>
      <c r="AF24" s="95" t="str" cm="1">
        <f t="array" ref="AF24">IF(OR($A24="",COLUMNS($D24:AF24)&gt;Beheer!$C$4),"",N(INDEX(Dashboard!$C$2:$AF$61,MATCH(LARGE(Dashboard!$AI$2:$AI$61,$A24),Dashboard!$AI$2:$AI$61,0),COLUMNS($D24:AF24)))&amp;"/"&amp;INDEX(Beheer!$B$7:$B$36,COLUMNS($D24:AF24)))</f>
        <v/>
      </c>
      <c r="AG24" s="95" t="str" cm="1">
        <f t="array" ref="AG24">IF(OR($A24="",COLUMNS($D24:AG24)&gt;Beheer!$C$4),"",N(INDEX(Dashboard!$C$2:$AF$61,MATCH(LARGE(Dashboard!$AI$2:$AI$61,$A24),Dashboard!$AI$2:$AI$61,0),COLUMNS($D24:AG24)))&amp;"/"&amp;INDEX(Beheer!$B$7:$B$36,COLUMNS($D24:AG24)))</f>
        <v/>
      </c>
    </row>
    <row r="25" spans="1:33" ht="24" customHeight="1" thickBot="1" x14ac:dyDescent="0.5">
      <c r="A25" s="98">
        <f>IF(ROWS($A$2:A25)&gt;COUNTA(Beheer!$F$7:$F$66),"",ROWS($A$2:A25))</f>
        <v>24</v>
      </c>
      <c r="B25" s="101" t="str">
        <f>IF($A25="","",INDEX(Dashboard!$A$2:$A$61,MATCH(LARGE(Dashboard!$AI$2:$AI$61,$A25),Dashboard!$AI$2:$AI$61,0)))</f>
        <v>De Trage Schildpadden</v>
      </c>
      <c r="C25" s="96" t="str">
        <f>IF($A25="","",INDEX(Dashboard!$AG$2:$AG$61,MATCH(LARGE(Dashboard!$AI$2:$AI$61,$A25),Dashboard!$AI$2:$AI$61,0))&amp;" / "&amp;INDEX(Dashboard!$AH$2:$AH$61,MATCH(LARGE(Dashboard!$AI$2:$AI$61,$A25),Dashboard!$AI$2:$AI$61,0)))</f>
        <v>56 / 130</v>
      </c>
      <c r="D25" s="97" t="str" cm="1">
        <f t="array" ref="D25">IF(OR($A25="",COLUMNS($D25:D25)&gt;Beheer!$C$4),"",N(INDEX(Dashboard!$C$2:$AF$61,MATCH(LARGE(Dashboard!$AI$2:$AI$61,$A25),Dashboard!$AI$2:$AI$61,0),COLUMNS($D25:D25)))&amp;"/"&amp;INDEX(Beheer!$B$7:$B$36,COLUMNS($D25:D25)))</f>
        <v>3/10</v>
      </c>
      <c r="E25" s="97" t="str" cm="1">
        <f t="array" ref="E25">IF(OR($A25="",COLUMNS($D25:E25)&gt;Beheer!$C$4),"",N(INDEX(Dashboard!$C$2:$AF$61,MATCH(LARGE(Dashboard!$AI$2:$AI$61,$A25),Dashboard!$AI$2:$AI$61,0),COLUMNS($D25:E25)))&amp;"/"&amp;INDEX(Beheer!$B$7:$B$36,COLUMNS($D25:E25)))</f>
        <v>10/10</v>
      </c>
      <c r="F25" s="97" t="str" cm="1">
        <f t="array" ref="F25">IF(OR($A25="",COLUMNS($D25:F25)&gt;Beheer!$C$4),"",N(INDEX(Dashboard!$C$2:$AF$61,MATCH(LARGE(Dashboard!$AI$2:$AI$61,$A25),Dashboard!$AI$2:$AI$61,0),COLUMNS($D25:F25)))&amp;"/"&amp;INDEX(Beheer!$B$7:$B$36,COLUMNS($D25:F25)))</f>
        <v>3/10</v>
      </c>
      <c r="G25" s="97" t="str" cm="1">
        <f t="array" ref="G25">IF(OR($A25="",COLUMNS($D25:G25)&gt;Beheer!$C$4),"",N(INDEX(Dashboard!$C$2:$AF$61,MATCH(LARGE(Dashboard!$AI$2:$AI$61,$A25),Dashboard!$AI$2:$AI$61,0),COLUMNS($D25:G25)))&amp;"/"&amp;INDEX(Beheer!$B$7:$B$36,COLUMNS($D25:G25)))</f>
        <v>6/20</v>
      </c>
      <c r="H25" s="97" t="str" cm="1">
        <f t="array" ref="H25">IF(OR($A25="",COLUMNS($D25:H25)&gt;Beheer!$C$4),"",N(INDEX(Dashboard!$C$2:$AF$61,MATCH(LARGE(Dashboard!$AI$2:$AI$61,$A25),Dashboard!$AI$2:$AI$61,0),COLUMNS($D25:H25)))&amp;"/"&amp;INDEX(Beheer!$B$7:$B$36,COLUMNS($D25:H25)))</f>
        <v>5/10</v>
      </c>
      <c r="I25" s="97" t="str" cm="1">
        <f t="array" ref="I25">IF(OR($A25="",COLUMNS($D25:I25)&gt;Beheer!$C$4),"",N(INDEX(Dashboard!$C$2:$AF$61,MATCH(LARGE(Dashboard!$AI$2:$AI$61,$A25),Dashboard!$AI$2:$AI$61,0),COLUMNS($D25:I25)))&amp;"/"&amp;INDEX(Beheer!$B$7:$B$36,COLUMNS($D25:I25)))</f>
        <v>1/10</v>
      </c>
      <c r="J25" s="97" t="str" cm="1">
        <f t="array" ref="J25">IF(OR($A25="",COLUMNS($D25:J25)&gt;Beheer!$C$4),"",N(INDEX(Dashboard!$C$2:$AF$61,MATCH(LARGE(Dashboard!$AI$2:$AI$61,$A25),Dashboard!$AI$2:$AI$61,0),COLUMNS($D25:J25)))&amp;"/"&amp;INDEX(Beheer!$B$7:$B$36,COLUMNS($D25:J25)))</f>
        <v>2/10</v>
      </c>
      <c r="K25" s="97" t="str" cm="1">
        <f t="array" ref="K25">IF(OR($A25="",COLUMNS($D25:K25)&gt;Beheer!$C$4),"",N(INDEX(Dashboard!$C$2:$AF$61,MATCH(LARGE(Dashboard!$AI$2:$AI$61,$A25),Dashboard!$AI$2:$AI$61,0),COLUMNS($D25:K25)))&amp;"/"&amp;INDEX(Beheer!$B$7:$B$36,COLUMNS($D25:K25)))</f>
        <v>10/15</v>
      </c>
      <c r="L25" s="97" t="str" cm="1">
        <f t="array" ref="L25">IF(OR($A25="",COLUMNS($D25:L25)&gt;Beheer!$C$4),"",N(INDEX(Dashboard!$C$2:$AF$61,MATCH(LARGE(Dashboard!$AI$2:$AI$61,$A25),Dashboard!$AI$2:$AI$61,0),COLUMNS($D25:L25)))&amp;"/"&amp;INDEX(Beheer!$B$7:$B$36,COLUMNS($D25:L25)))</f>
        <v>1/10</v>
      </c>
      <c r="M25" s="97" t="str" cm="1">
        <f t="array" ref="M25">IF(OR($A25="",COLUMNS($D25:M25)&gt;Beheer!$C$4),"",N(INDEX(Dashboard!$C$2:$AF$61,MATCH(LARGE(Dashboard!$AI$2:$AI$61,$A25),Dashboard!$AI$2:$AI$61,0),COLUMNS($D25:M25)))&amp;"/"&amp;INDEX(Beheer!$B$7:$B$36,COLUMNS($D25:M25)))</f>
        <v>9/10</v>
      </c>
      <c r="N25" s="97" t="str" cm="1">
        <f t="array" ref="N25">IF(OR($A25="",COLUMNS($D25:N25)&gt;Beheer!$C$4),"",N(INDEX(Dashboard!$C$2:$AF$61,MATCH(LARGE(Dashboard!$AI$2:$AI$61,$A25),Dashboard!$AI$2:$AI$61,0),COLUMNS($D25:N25)))&amp;"/"&amp;INDEX(Beheer!$B$7:$B$36,COLUMNS($D25:N25)))</f>
        <v>2/5</v>
      </c>
      <c r="O25" s="97" t="str" cm="1">
        <f t="array" ref="O25">IF(OR($A25="",COLUMNS($D25:O25)&gt;Beheer!$C$4),"",N(INDEX(Dashboard!$C$2:$AF$61,MATCH(LARGE(Dashboard!$AI$2:$AI$61,$A25),Dashboard!$AI$2:$AI$61,0),COLUMNS($D25:O25)))&amp;"/"&amp;INDEX(Beheer!$B$7:$B$36,COLUMNS($D25:O25)))</f>
        <v>4/10</v>
      </c>
      <c r="P25" s="97" t="str" cm="1">
        <f t="array" ref="P25">IF(OR($A25="",COLUMNS($D25:P25)&gt;Beheer!$C$4),"",N(INDEX(Dashboard!$C$2:$AF$61,MATCH(LARGE(Dashboard!$AI$2:$AI$61,$A25),Dashboard!$AI$2:$AI$61,0),COLUMNS($D25:P25)))&amp;"/"&amp;INDEX(Beheer!$B$7:$B$36,COLUMNS($D25:P25)))</f>
        <v/>
      </c>
      <c r="Q25" s="97" t="str" cm="1">
        <f t="array" ref="Q25">IF(OR($A25="",COLUMNS($D25:Q25)&gt;Beheer!$C$4),"",N(INDEX(Dashboard!$C$2:$AF$61,MATCH(LARGE(Dashboard!$AI$2:$AI$61,$A25),Dashboard!$AI$2:$AI$61,0),COLUMNS($D25:Q25)))&amp;"/"&amp;INDEX(Beheer!$B$7:$B$36,COLUMNS($D25:Q25)))</f>
        <v/>
      </c>
      <c r="R25" s="97" t="str" cm="1">
        <f t="array" ref="R25">IF(OR($A25="",COLUMNS($D25:R25)&gt;Beheer!$C$4),"",N(INDEX(Dashboard!$C$2:$AF$61,MATCH(LARGE(Dashboard!$AI$2:$AI$61,$A25),Dashboard!$AI$2:$AI$61,0),COLUMNS($D25:R25)))&amp;"/"&amp;INDEX(Beheer!$B$7:$B$36,COLUMNS($D25:R25)))</f>
        <v/>
      </c>
      <c r="S25" s="97" t="str" cm="1">
        <f t="array" ref="S25">IF(OR($A25="",COLUMNS($D25:S25)&gt;Beheer!$C$4),"",N(INDEX(Dashboard!$C$2:$AF$61,MATCH(LARGE(Dashboard!$AI$2:$AI$61,$A25),Dashboard!$AI$2:$AI$61,0),COLUMNS($D25:S25)))&amp;"/"&amp;INDEX(Beheer!$B$7:$B$36,COLUMNS($D25:S25)))</f>
        <v/>
      </c>
      <c r="T25" s="97" t="str" cm="1">
        <f t="array" ref="T25">IF(OR($A25="",COLUMNS($D25:T25)&gt;Beheer!$C$4),"",N(INDEX(Dashboard!$C$2:$AF$61,MATCH(LARGE(Dashboard!$AI$2:$AI$61,$A25),Dashboard!$AI$2:$AI$61,0),COLUMNS($D25:T25)))&amp;"/"&amp;INDEX(Beheer!$B$7:$B$36,COLUMNS($D25:T25)))</f>
        <v/>
      </c>
      <c r="U25" s="97" t="str" cm="1">
        <f t="array" ref="U25">IF(OR($A25="",COLUMNS($D25:U25)&gt;Beheer!$C$4),"",N(INDEX(Dashboard!$C$2:$AF$61,MATCH(LARGE(Dashboard!$AI$2:$AI$61,$A25),Dashboard!$AI$2:$AI$61,0),COLUMNS($D25:U25)))&amp;"/"&amp;INDEX(Beheer!$B$7:$B$36,COLUMNS($D25:U25)))</f>
        <v/>
      </c>
      <c r="V25" s="97" t="str" cm="1">
        <f t="array" ref="V25">IF(OR($A25="",COLUMNS($D25:V25)&gt;Beheer!$C$4),"",N(INDEX(Dashboard!$C$2:$AF$61,MATCH(LARGE(Dashboard!$AI$2:$AI$61,$A25),Dashboard!$AI$2:$AI$61,0),COLUMNS($D25:V25)))&amp;"/"&amp;INDEX(Beheer!$B$7:$B$36,COLUMNS($D25:V25)))</f>
        <v/>
      </c>
      <c r="W25" s="97" t="str" cm="1">
        <f t="array" ref="W25">IF(OR($A25="",COLUMNS($D25:W25)&gt;Beheer!$C$4),"",N(INDEX(Dashboard!$C$2:$AF$61,MATCH(LARGE(Dashboard!$AI$2:$AI$61,$A25),Dashboard!$AI$2:$AI$61,0),COLUMNS($D25:W25)))&amp;"/"&amp;INDEX(Beheer!$B$7:$B$36,COLUMNS($D25:W25)))</f>
        <v/>
      </c>
      <c r="X25" s="97" t="str" cm="1">
        <f t="array" ref="X25">IF(OR($A25="",COLUMNS($D25:X25)&gt;Beheer!$C$4),"",N(INDEX(Dashboard!$C$2:$AF$61,MATCH(LARGE(Dashboard!$AI$2:$AI$61,$A25),Dashboard!$AI$2:$AI$61,0),COLUMNS($D25:X25)))&amp;"/"&amp;INDEX(Beheer!$B$7:$B$36,COLUMNS($D25:X25)))</f>
        <v/>
      </c>
      <c r="Y25" s="97" t="str" cm="1">
        <f t="array" ref="Y25">IF(OR($A25="",COLUMNS($D25:Y25)&gt;Beheer!$C$4),"",N(INDEX(Dashboard!$C$2:$AF$61,MATCH(LARGE(Dashboard!$AI$2:$AI$61,$A25),Dashboard!$AI$2:$AI$61,0),COLUMNS($D25:Y25)))&amp;"/"&amp;INDEX(Beheer!$B$7:$B$36,COLUMNS($D25:Y25)))</f>
        <v/>
      </c>
      <c r="Z25" s="97" t="str" cm="1">
        <f t="array" ref="Z25">IF(OR($A25="",COLUMNS($D25:Z25)&gt;Beheer!$C$4),"",N(INDEX(Dashboard!$C$2:$AF$61,MATCH(LARGE(Dashboard!$AI$2:$AI$61,$A25),Dashboard!$AI$2:$AI$61,0),COLUMNS($D25:Z25)))&amp;"/"&amp;INDEX(Beheer!$B$7:$B$36,COLUMNS($D25:Z25)))</f>
        <v/>
      </c>
      <c r="AA25" s="97" t="str" cm="1">
        <f t="array" ref="AA25">IF(OR($A25="",COLUMNS($D25:AA25)&gt;Beheer!$C$4),"",N(INDEX(Dashboard!$C$2:$AF$61,MATCH(LARGE(Dashboard!$AI$2:$AI$61,$A25),Dashboard!$AI$2:$AI$61,0),COLUMNS($D25:AA25)))&amp;"/"&amp;INDEX(Beheer!$B$7:$B$36,COLUMNS($D25:AA25)))</f>
        <v/>
      </c>
      <c r="AB25" s="97" t="str" cm="1">
        <f t="array" ref="AB25">IF(OR($A25="",COLUMNS($D25:AB25)&gt;Beheer!$C$4),"",N(INDEX(Dashboard!$C$2:$AF$61,MATCH(LARGE(Dashboard!$AI$2:$AI$61,$A25),Dashboard!$AI$2:$AI$61,0),COLUMNS($D25:AB25)))&amp;"/"&amp;INDEX(Beheer!$B$7:$B$36,COLUMNS($D25:AB25)))</f>
        <v/>
      </c>
      <c r="AC25" s="97" t="str" cm="1">
        <f t="array" ref="AC25">IF(OR($A25="",COLUMNS($D25:AC25)&gt;Beheer!$C$4),"",N(INDEX(Dashboard!$C$2:$AF$61,MATCH(LARGE(Dashboard!$AI$2:$AI$61,$A25),Dashboard!$AI$2:$AI$61,0),COLUMNS($D25:AC25)))&amp;"/"&amp;INDEX(Beheer!$B$7:$B$36,COLUMNS($D25:AC25)))</f>
        <v/>
      </c>
      <c r="AD25" s="97" t="str" cm="1">
        <f t="array" ref="AD25">IF(OR($A25="",COLUMNS($D25:AD25)&gt;Beheer!$C$4),"",N(INDEX(Dashboard!$C$2:$AF$61,MATCH(LARGE(Dashboard!$AI$2:$AI$61,$A25),Dashboard!$AI$2:$AI$61,0),COLUMNS($D25:AD25)))&amp;"/"&amp;INDEX(Beheer!$B$7:$B$36,COLUMNS($D25:AD25)))</f>
        <v/>
      </c>
      <c r="AE25" s="97" t="str" cm="1">
        <f t="array" ref="AE25">IF(OR($A25="",COLUMNS($D25:AE25)&gt;Beheer!$C$4),"",N(INDEX(Dashboard!$C$2:$AF$61,MATCH(LARGE(Dashboard!$AI$2:$AI$61,$A25),Dashboard!$AI$2:$AI$61,0),COLUMNS($D25:AE25)))&amp;"/"&amp;INDEX(Beheer!$B$7:$B$36,COLUMNS($D25:AE25)))</f>
        <v/>
      </c>
      <c r="AF25" s="97" t="str" cm="1">
        <f t="array" ref="AF25">IF(OR($A25="",COLUMNS($D25:AF25)&gt;Beheer!$C$4),"",N(INDEX(Dashboard!$C$2:$AF$61,MATCH(LARGE(Dashboard!$AI$2:$AI$61,$A25),Dashboard!$AI$2:$AI$61,0),COLUMNS($D25:AF25)))&amp;"/"&amp;INDEX(Beheer!$B$7:$B$36,COLUMNS($D25:AF25)))</f>
        <v/>
      </c>
      <c r="AG25" s="97" t="str" cm="1">
        <f t="array" ref="AG25">IF(OR($A25="",COLUMNS($D25:AG25)&gt;Beheer!$C$4),"",N(INDEX(Dashboard!$C$2:$AF$61,MATCH(LARGE(Dashboard!$AI$2:$AI$61,$A25),Dashboard!$AI$2:$AI$61,0),COLUMNS($D25:AG25)))&amp;"/"&amp;INDEX(Beheer!$B$7:$B$36,COLUMNS($D25:AG25)))</f>
        <v/>
      </c>
    </row>
    <row r="26" spans="1:33" ht="24" customHeight="1" thickBot="1" x14ac:dyDescent="0.5">
      <c r="A26" s="99">
        <f>IF(ROWS($A$2:A26)&gt;COUNTA(Beheer!$F$7:$F$66),"",ROWS($A$2:A26))</f>
        <v>25</v>
      </c>
      <c r="B26" s="102" t="str">
        <f>IF($A26="","",INDEX(Dashboard!$A$2:$A$61,MATCH(LARGE(Dashboard!$AI$2:$AI$61,$A26),Dashboard!$AI$2:$AI$61,0)))</f>
        <v>Jommeke's Wreker</v>
      </c>
      <c r="C26" s="94" t="str">
        <f>IF($A26="","",INDEX(Dashboard!$AG$2:$AG$61,MATCH(LARGE(Dashboard!$AI$2:$AI$61,$A26),Dashboard!$AI$2:$AI$61,0))&amp;" / "&amp;INDEX(Dashboard!$AH$2:$AH$61,MATCH(LARGE(Dashboard!$AI$2:$AI$61,$A26),Dashboard!$AI$2:$AI$61,0)))</f>
        <v>49 / 130</v>
      </c>
      <c r="D26" s="95" t="str" cm="1">
        <f t="array" ref="D26">IF(OR($A26="",COLUMNS($D26:D26)&gt;Beheer!$C$4),"",N(INDEX(Dashboard!$C$2:$AF$61,MATCH(LARGE(Dashboard!$AI$2:$AI$61,$A26),Dashboard!$AI$2:$AI$61,0),COLUMNS($D26:D26)))&amp;"/"&amp;INDEX(Beheer!$B$7:$B$36,COLUMNS($D26:D26)))</f>
        <v>6/10</v>
      </c>
      <c r="E26" s="95" t="str" cm="1">
        <f t="array" ref="E26">IF(OR($A26="",COLUMNS($D26:E26)&gt;Beheer!$C$4),"",N(INDEX(Dashboard!$C$2:$AF$61,MATCH(LARGE(Dashboard!$AI$2:$AI$61,$A26),Dashboard!$AI$2:$AI$61,0),COLUMNS($D26:E26)))&amp;"/"&amp;INDEX(Beheer!$B$7:$B$36,COLUMNS($D26:E26)))</f>
        <v>3/10</v>
      </c>
      <c r="F26" s="95" t="str" cm="1">
        <f t="array" ref="F26">IF(OR($A26="",COLUMNS($D26:F26)&gt;Beheer!$C$4),"",N(INDEX(Dashboard!$C$2:$AF$61,MATCH(LARGE(Dashboard!$AI$2:$AI$61,$A26),Dashboard!$AI$2:$AI$61,0),COLUMNS($D26:F26)))&amp;"/"&amp;INDEX(Beheer!$B$7:$B$36,COLUMNS($D26:F26)))</f>
        <v>4/10</v>
      </c>
      <c r="G26" s="95" t="str" cm="1">
        <f t="array" ref="G26">IF(OR($A26="",COLUMNS($D26:G26)&gt;Beheer!$C$4),"",N(INDEX(Dashboard!$C$2:$AF$61,MATCH(LARGE(Dashboard!$AI$2:$AI$61,$A26),Dashboard!$AI$2:$AI$61,0),COLUMNS($D26:G26)))&amp;"/"&amp;INDEX(Beheer!$B$7:$B$36,COLUMNS($D26:G26)))</f>
        <v>8/20</v>
      </c>
      <c r="H26" s="95" t="str" cm="1">
        <f t="array" ref="H26">IF(OR($A26="",COLUMNS($D26:H26)&gt;Beheer!$C$4),"",N(INDEX(Dashboard!$C$2:$AF$61,MATCH(LARGE(Dashboard!$AI$2:$AI$61,$A26),Dashboard!$AI$2:$AI$61,0),COLUMNS($D26:H26)))&amp;"/"&amp;INDEX(Beheer!$B$7:$B$36,COLUMNS($D26:H26)))</f>
        <v>6/10</v>
      </c>
      <c r="I26" s="95" t="str" cm="1">
        <f t="array" ref="I26">IF(OR($A26="",COLUMNS($D26:I26)&gt;Beheer!$C$4),"",N(INDEX(Dashboard!$C$2:$AF$61,MATCH(LARGE(Dashboard!$AI$2:$AI$61,$A26),Dashboard!$AI$2:$AI$61,0),COLUMNS($D26:I26)))&amp;"/"&amp;INDEX(Beheer!$B$7:$B$36,COLUMNS($D26:I26)))</f>
        <v>9/10</v>
      </c>
      <c r="J26" s="95" t="str" cm="1">
        <f t="array" ref="J26">IF(OR($A26="",COLUMNS($D26:J26)&gt;Beheer!$C$4),"",N(INDEX(Dashboard!$C$2:$AF$61,MATCH(LARGE(Dashboard!$AI$2:$AI$61,$A26),Dashboard!$AI$2:$AI$61,0),COLUMNS($D26:J26)))&amp;"/"&amp;INDEX(Beheer!$B$7:$B$36,COLUMNS($D26:J26)))</f>
        <v>3/10</v>
      </c>
      <c r="K26" s="95" t="str" cm="1">
        <f t="array" ref="K26">IF(OR($A26="",COLUMNS($D26:K26)&gt;Beheer!$C$4),"",N(INDEX(Dashboard!$C$2:$AF$61,MATCH(LARGE(Dashboard!$AI$2:$AI$61,$A26),Dashboard!$AI$2:$AI$61,0),COLUMNS($D26:K26)))&amp;"/"&amp;INDEX(Beheer!$B$7:$B$36,COLUMNS($D26:K26)))</f>
        <v>2/15</v>
      </c>
      <c r="L26" s="95" t="str" cm="1">
        <f t="array" ref="L26">IF(OR($A26="",COLUMNS($D26:L26)&gt;Beheer!$C$4),"",N(INDEX(Dashboard!$C$2:$AF$61,MATCH(LARGE(Dashboard!$AI$2:$AI$61,$A26),Dashboard!$AI$2:$AI$61,0),COLUMNS($D26:L26)))&amp;"/"&amp;INDEX(Beheer!$B$7:$B$36,COLUMNS($D26:L26)))</f>
        <v>1/10</v>
      </c>
      <c r="M26" s="95" t="str" cm="1">
        <f t="array" ref="M26">IF(OR($A26="",COLUMNS($D26:M26)&gt;Beheer!$C$4),"",N(INDEX(Dashboard!$C$2:$AF$61,MATCH(LARGE(Dashboard!$AI$2:$AI$61,$A26),Dashboard!$AI$2:$AI$61,0),COLUMNS($D26:M26)))&amp;"/"&amp;INDEX(Beheer!$B$7:$B$36,COLUMNS($D26:M26)))</f>
        <v>1/10</v>
      </c>
      <c r="N26" s="95" t="str" cm="1">
        <f t="array" ref="N26">IF(OR($A26="",COLUMNS($D26:N26)&gt;Beheer!$C$4),"",N(INDEX(Dashboard!$C$2:$AF$61,MATCH(LARGE(Dashboard!$AI$2:$AI$61,$A26),Dashboard!$AI$2:$AI$61,0),COLUMNS($D26:N26)))&amp;"/"&amp;INDEX(Beheer!$B$7:$B$36,COLUMNS($D26:N26)))</f>
        <v>2/5</v>
      </c>
      <c r="O26" s="95" t="str" cm="1">
        <f t="array" ref="O26">IF(OR($A26="",COLUMNS($D26:O26)&gt;Beheer!$C$4),"",N(INDEX(Dashboard!$C$2:$AF$61,MATCH(LARGE(Dashboard!$AI$2:$AI$61,$A26),Dashboard!$AI$2:$AI$61,0),COLUMNS($D26:O26)))&amp;"/"&amp;INDEX(Beheer!$B$7:$B$36,COLUMNS($D26:O26)))</f>
        <v>4/10</v>
      </c>
      <c r="P26" s="95" t="str" cm="1">
        <f t="array" ref="P26">IF(OR($A26="",COLUMNS($D26:P26)&gt;Beheer!$C$4),"",N(INDEX(Dashboard!$C$2:$AF$61,MATCH(LARGE(Dashboard!$AI$2:$AI$61,$A26),Dashboard!$AI$2:$AI$61,0),COLUMNS($D26:P26)))&amp;"/"&amp;INDEX(Beheer!$B$7:$B$36,COLUMNS($D26:P26)))</f>
        <v/>
      </c>
      <c r="Q26" s="95" t="str" cm="1">
        <f t="array" ref="Q26">IF(OR($A26="",COLUMNS($D26:Q26)&gt;Beheer!$C$4),"",N(INDEX(Dashboard!$C$2:$AF$61,MATCH(LARGE(Dashboard!$AI$2:$AI$61,$A26),Dashboard!$AI$2:$AI$61,0),COLUMNS($D26:Q26)))&amp;"/"&amp;INDEX(Beheer!$B$7:$B$36,COLUMNS($D26:Q26)))</f>
        <v/>
      </c>
      <c r="R26" s="95" t="str" cm="1">
        <f t="array" ref="R26">IF(OR($A26="",COLUMNS($D26:R26)&gt;Beheer!$C$4),"",N(INDEX(Dashboard!$C$2:$AF$61,MATCH(LARGE(Dashboard!$AI$2:$AI$61,$A26),Dashboard!$AI$2:$AI$61,0),COLUMNS($D26:R26)))&amp;"/"&amp;INDEX(Beheer!$B$7:$B$36,COLUMNS($D26:R26)))</f>
        <v/>
      </c>
      <c r="S26" s="95" t="str" cm="1">
        <f t="array" ref="S26">IF(OR($A26="",COLUMNS($D26:S26)&gt;Beheer!$C$4),"",N(INDEX(Dashboard!$C$2:$AF$61,MATCH(LARGE(Dashboard!$AI$2:$AI$61,$A26),Dashboard!$AI$2:$AI$61,0),COLUMNS($D26:S26)))&amp;"/"&amp;INDEX(Beheer!$B$7:$B$36,COLUMNS($D26:S26)))</f>
        <v/>
      </c>
      <c r="T26" s="95" t="str" cm="1">
        <f t="array" ref="T26">IF(OR($A26="",COLUMNS($D26:T26)&gt;Beheer!$C$4),"",N(INDEX(Dashboard!$C$2:$AF$61,MATCH(LARGE(Dashboard!$AI$2:$AI$61,$A26),Dashboard!$AI$2:$AI$61,0),COLUMNS($D26:T26)))&amp;"/"&amp;INDEX(Beheer!$B$7:$B$36,COLUMNS($D26:T26)))</f>
        <v/>
      </c>
      <c r="U26" s="95" t="str" cm="1">
        <f t="array" ref="U26">IF(OR($A26="",COLUMNS($D26:U26)&gt;Beheer!$C$4),"",N(INDEX(Dashboard!$C$2:$AF$61,MATCH(LARGE(Dashboard!$AI$2:$AI$61,$A26),Dashboard!$AI$2:$AI$61,0),COLUMNS($D26:U26)))&amp;"/"&amp;INDEX(Beheer!$B$7:$B$36,COLUMNS($D26:U26)))</f>
        <v/>
      </c>
      <c r="V26" s="95" t="str" cm="1">
        <f t="array" ref="V26">IF(OR($A26="",COLUMNS($D26:V26)&gt;Beheer!$C$4),"",N(INDEX(Dashboard!$C$2:$AF$61,MATCH(LARGE(Dashboard!$AI$2:$AI$61,$A26),Dashboard!$AI$2:$AI$61,0),COLUMNS($D26:V26)))&amp;"/"&amp;INDEX(Beheer!$B$7:$B$36,COLUMNS($D26:V26)))</f>
        <v/>
      </c>
      <c r="W26" s="95" t="str" cm="1">
        <f t="array" ref="W26">IF(OR($A26="",COLUMNS($D26:W26)&gt;Beheer!$C$4),"",N(INDEX(Dashboard!$C$2:$AF$61,MATCH(LARGE(Dashboard!$AI$2:$AI$61,$A26),Dashboard!$AI$2:$AI$61,0),COLUMNS($D26:W26)))&amp;"/"&amp;INDEX(Beheer!$B$7:$B$36,COLUMNS($D26:W26)))</f>
        <v/>
      </c>
      <c r="X26" s="95" t="str" cm="1">
        <f t="array" ref="X26">IF(OR($A26="",COLUMNS($D26:X26)&gt;Beheer!$C$4),"",N(INDEX(Dashboard!$C$2:$AF$61,MATCH(LARGE(Dashboard!$AI$2:$AI$61,$A26),Dashboard!$AI$2:$AI$61,0),COLUMNS($D26:X26)))&amp;"/"&amp;INDEX(Beheer!$B$7:$B$36,COLUMNS($D26:X26)))</f>
        <v/>
      </c>
      <c r="Y26" s="95" t="str" cm="1">
        <f t="array" ref="Y26">IF(OR($A26="",COLUMNS($D26:Y26)&gt;Beheer!$C$4),"",N(INDEX(Dashboard!$C$2:$AF$61,MATCH(LARGE(Dashboard!$AI$2:$AI$61,$A26),Dashboard!$AI$2:$AI$61,0),COLUMNS($D26:Y26)))&amp;"/"&amp;INDEX(Beheer!$B$7:$B$36,COLUMNS($D26:Y26)))</f>
        <v/>
      </c>
      <c r="Z26" s="95" t="str" cm="1">
        <f t="array" ref="Z26">IF(OR($A26="",COLUMNS($D26:Z26)&gt;Beheer!$C$4),"",N(INDEX(Dashboard!$C$2:$AF$61,MATCH(LARGE(Dashboard!$AI$2:$AI$61,$A26),Dashboard!$AI$2:$AI$61,0),COLUMNS($D26:Z26)))&amp;"/"&amp;INDEX(Beheer!$B$7:$B$36,COLUMNS($D26:Z26)))</f>
        <v/>
      </c>
      <c r="AA26" s="95" t="str" cm="1">
        <f t="array" ref="AA26">IF(OR($A26="",COLUMNS($D26:AA26)&gt;Beheer!$C$4),"",N(INDEX(Dashboard!$C$2:$AF$61,MATCH(LARGE(Dashboard!$AI$2:$AI$61,$A26),Dashboard!$AI$2:$AI$61,0),COLUMNS($D26:AA26)))&amp;"/"&amp;INDEX(Beheer!$B$7:$B$36,COLUMNS($D26:AA26)))</f>
        <v/>
      </c>
      <c r="AB26" s="95" t="str" cm="1">
        <f t="array" ref="AB26">IF(OR($A26="",COLUMNS($D26:AB26)&gt;Beheer!$C$4),"",N(INDEX(Dashboard!$C$2:$AF$61,MATCH(LARGE(Dashboard!$AI$2:$AI$61,$A26),Dashboard!$AI$2:$AI$61,0),COLUMNS($D26:AB26)))&amp;"/"&amp;INDEX(Beheer!$B$7:$B$36,COLUMNS($D26:AB26)))</f>
        <v/>
      </c>
      <c r="AC26" s="95" t="str" cm="1">
        <f t="array" ref="AC26">IF(OR($A26="",COLUMNS($D26:AC26)&gt;Beheer!$C$4),"",N(INDEX(Dashboard!$C$2:$AF$61,MATCH(LARGE(Dashboard!$AI$2:$AI$61,$A26),Dashboard!$AI$2:$AI$61,0),COLUMNS($D26:AC26)))&amp;"/"&amp;INDEX(Beheer!$B$7:$B$36,COLUMNS($D26:AC26)))</f>
        <v/>
      </c>
      <c r="AD26" s="95" t="str" cm="1">
        <f t="array" ref="AD26">IF(OR($A26="",COLUMNS($D26:AD26)&gt;Beheer!$C$4),"",N(INDEX(Dashboard!$C$2:$AF$61,MATCH(LARGE(Dashboard!$AI$2:$AI$61,$A26),Dashboard!$AI$2:$AI$61,0),COLUMNS($D26:AD26)))&amp;"/"&amp;INDEX(Beheer!$B$7:$B$36,COLUMNS($D26:AD26)))</f>
        <v/>
      </c>
      <c r="AE26" s="95" t="str" cm="1">
        <f t="array" ref="AE26">IF(OR($A26="",COLUMNS($D26:AE26)&gt;Beheer!$C$4),"",N(INDEX(Dashboard!$C$2:$AF$61,MATCH(LARGE(Dashboard!$AI$2:$AI$61,$A26),Dashboard!$AI$2:$AI$61,0),COLUMNS($D26:AE26)))&amp;"/"&amp;INDEX(Beheer!$B$7:$B$36,COLUMNS($D26:AE26)))</f>
        <v/>
      </c>
      <c r="AF26" s="95" t="str" cm="1">
        <f t="array" ref="AF26">IF(OR($A26="",COLUMNS($D26:AF26)&gt;Beheer!$C$4),"",N(INDEX(Dashboard!$C$2:$AF$61,MATCH(LARGE(Dashboard!$AI$2:$AI$61,$A26),Dashboard!$AI$2:$AI$61,0),COLUMNS($D26:AF26)))&amp;"/"&amp;INDEX(Beheer!$B$7:$B$36,COLUMNS($D26:AF26)))</f>
        <v/>
      </c>
      <c r="AG26" s="95" t="str" cm="1">
        <f t="array" ref="AG26">IF(OR($A26="",COLUMNS($D26:AG26)&gt;Beheer!$C$4),"",N(INDEX(Dashboard!$C$2:$AF$61,MATCH(LARGE(Dashboard!$AI$2:$AI$61,$A26),Dashboard!$AI$2:$AI$61,0),COLUMNS($D26:AG26)))&amp;"/"&amp;INDEX(Beheer!$B$7:$B$36,COLUMNS($D26:AG26)))</f>
        <v/>
      </c>
    </row>
    <row r="27" spans="1:33" ht="24" customHeight="1" thickBot="1" x14ac:dyDescent="0.5">
      <c r="A27" s="98" t="str">
        <f>IF(ROWS($A$2:A27)&gt;COUNTA(Beheer!$F$7:$F$66),"",ROWS($A$2:A27))</f>
        <v/>
      </c>
      <c r="B27" s="101" t="str">
        <f>IF($A27="","",INDEX(Dashboard!$A$2:$A$61,MATCH(LARGE(Dashboard!$AI$2:$AI$61,$A27),Dashboard!$AI$2:$AI$61,0)))</f>
        <v/>
      </c>
      <c r="C27" s="96" t="str">
        <f>IF($A27="","",INDEX(Dashboard!$AG$2:$AG$61,MATCH(LARGE(Dashboard!$AI$2:$AI$61,$A27),Dashboard!$AI$2:$AI$61,0))&amp;" / "&amp;INDEX(Dashboard!$AH$2:$AH$61,MATCH(LARGE(Dashboard!$AI$2:$AI$61,$A27),Dashboard!$AI$2:$AI$61,0)))</f>
        <v/>
      </c>
      <c r="D27" s="97" t="str" cm="1">
        <f t="array" ref="D27">IF(OR($A27="",COLUMNS($D27:D27)&gt;Beheer!$C$4),"",N(INDEX(Dashboard!$C$2:$AF$61,MATCH(LARGE(Dashboard!$AI$2:$AI$61,$A27),Dashboard!$AI$2:$AI$61,0),COLUMNS($D27:D27)))&amp;"/"&amp;INDEX(Beheer!$B$7:$B$36,COLUMNS($D27:D27)))</f>
        <v/>
      </c>
      <c r="E27" s="97" t="str" cm="1">
        <f t="array" ref="E27">IF(OR($A27="",COLUMNS($D27:E27)&gt;Beheer!$C$4),"",N(INDEX(Dashboard!$C$2:$AF$61,MATCH(LARGE(Dashboard!$AI$2:$AI$61,$A27),Dashboard!$AI$2:$AI$61,0),COLUMNS($D27:E27)))&amp;"/"&amp;INDEX(Beheer!$B$7:$B$36,COLUMNS($D27:E27)))</f>
        <v/>
      </c>
      <c r="F27" s="97" t="str" cm="1">
        <f t="array" ref="F27">IF(OR($A27="",COLUMNS($D27:F27)&gt;Beheer!$C$4),"",N(INDEX(Dashboard!$C$2:$AF$61,MATCH(LARGE(Dashboard!$AI$2:$AI$61,$A27),Dashboard!$AI$2:$AI$61,0),COLUMNS($D27:F27)))&amp;"/"&amp;INDEX(Beheer!$B$7:$B$36,COLUMNS($D27:F27)))</f>
        <v/>
      </c>
      <c r="G27" s="97" t="str" cm="1">
        <f t="array" ref="G27">IF(OR($A27="",COLUMNS($D27:G27)&gt;Beheer!$C$4),"",N(INDEX(Dashboard!$C$2:$AF$61,MATCH(LARGE(Dashboard!$AI$2:$AI$61,$A27),Dashboard!$AI$2:$AI$61,0),COLUMNS($D27:G27)))&amp;"/"&amp;INDEX(Beheer!$B$7:$B$36,COLUMNS($D27:G27)))</f>
        <v/>
      </c>
      <c r="H27" s="97" t="str" cm="1">
        <f t="array" ref="H27">IF(OR($A27="",COLUMNS($D27:H27)&gt;Beheer!$C$4),"",N(INDEX(Dashboard!$C$2:$AF$61,MATCH(LARGE(Dashboard!$AI$2:$AI$61,$A27),Dashboard!$AI$2:$AI$61,0),COLUMNS($D27:H27)))&amp;"/"&amp;INDEX(Beheer!$B$7:$B$36,COLUMNS($D27:H27)))</f>
        <v/>
      </c>
      <c r="I27" s="97" t="str" cm="1">
        <f t="array" ref="I27">IF(OR($A27="",COLUMNS($D27:I27)&gt;Beheer!$C$4),"",N(INDEX(Dashboard!$C$2:$AF$61,MATCH(LARGE(Dashboard!$AI$2:$AI$61,$A27),Dashboard!$AI$2:$AI$61,0),COLUMNS($D27:I27)))&amp;"/"&amp;INDEX(Beheer!$B$7:$B$36,COLUMNS($D27:I27)))</f>
        <v/>
      </c>
      <c r="J27" s="97" t="str" cm="1">
        <f t="array" ref="J27">IF(OR($A27="",COLUMNS($D27:J27)&gt;Beheer!$C$4),"",N(INDEX(Dashboard!$C$2:$AF$61,MATCH(LARGE(Dashboard!$AI$2:$AI$61,$A27),Dashboard!$AI$2:$AI$61,0),COLUMNS($D27:J27)))&amp;"/"&amp;INDEX(Beheer!$B$7:$B$36,COLUMNS($D27:J27)))</f>
        <v/>
      </c>
      <c r="K27" s="97" t="str" cm="1">
        <f t="array" ref="K27">IF(OR($A27="",COLUMNS($D27:K27)&gt;Beheer!$C$4),"",N(INDEX(Dashboard!$C$2:$AF$61,MATCH(LARGE(Dashboard!$AI$2:$AI$61,$A27),Dashboard!$AI$2:$AI$61,0),COLUMNS($D27:K27)))&amp;"/"&amp;INDEX(Beheer!$B$7:$B$36,COLUMNS($D27:K27)))</f>
        <v/>
      </c>
      <c r="L27" s="97" t="str" cm="1">
        <f t="array" ref="L27">IF(OR($A27="",COLUMNS($D27:L27)&gt;Beheer!$C$4),"",N(INDEX(Dashboard!$C$2:$AF$61,MATCH(LARGE(Dashboard!$AI$2:$AI$61,$A27),Dashboard!$AI$2:$AI$61,0),COLUMNS($D27:L27)))&amp;"/"&amp;INDEX(Beheer!$B$7:$B$36,COLUMNS($D27:L27)))</f>
        <v/>
      </c>
      <c r="M27" s="97" t="str" cm="1">
        <f t="array" ref="M27">IF(OR($A27="",COLUMNS($D27:M27)&gt;Beheer!$C$4),"",N(INDEX(Dashboard!$C$2:$AF$61,MATCH(LARGE(Dashboard!$AI$2:$AI$61,$A27),Dashboard!$AI$2:$AI$61,0),COLUMNS($D27:M27)))&amp;"/"&amp;INDEX(Beheer!$B$7:$B$36,COLUMNS($D27:M27)))</f>
        <v/>
      </c>
      <c r="N27" s="97" t="str" cm="1">
        <f t="array" ref="N27">IF(OR($A27="",COLUMNS($D27:N27)&gt;Beheer!$C$4),"",N(INDEX(Dashboard!$C$2:$AF$61,MATCH(LARGE(Dashboard!$AI$2:$AI$61,$A27),Dashboard!$AI$2:$AI$61,0),COLUMNS($D27:N27)))&amp;"/"&amp;INDEX(Beheer!$B$7:$B$36,COLUMNS($D27:N27)))</f>
        <v/>
      </c>
      <c r="O27" s="97" t="str" cm="1">
        <f t="array" ref="O27">IF(OR($A27="",COLUMNS($D27:O27)&gt;Beheer!$C$4),"",N(INDEX(Dashboard!$C$2:$AF$61,MATCH(LARGE(Dashboard!$AI$2:$AI$61,$A27),Dashboard!$AI$2:$AI$61,0),COLUMNS($D27:O27)))&amp;"/"&amp;INDEX(Beheer!$B$7:$B$36,COLUMNS($D27:O27)))</f>
        <v/>
      </c>
      <c r="P27" s="97" t="str" cm="1">
        <f t="array" ref="P27">IF(OR($A27="",COLUMNS($D27:P27)&gt;Beheer!$C$4),"",N(INDEX(Dashboard!$C$2:$AF$61,MATCH(LARGE(Dashboard!$AI$2:$AI$61,$A27),Dashboard!$AI$2:$AI$61,0),COLUMNS($D27:P27)))&amp;"/"&amp;INDEX(Beheer!$B$7:$B$36,COLUMNS($D27:P27)))</f>
        <v/>
      </c>
      <c r="Q27" s="97" t="str" cm="1">
        <f t="array" ref="Q27">IF(OR($A27="",COLUMNS($D27:Q27)&gt;Beheer!$C$4),"",N(INDEX(Dashboard!$C$2:$AF$61,MATCH(LARGE(Dashboard!$AI$2:$AI$61,$A27),Dashboard!$AI$2:$AI$61,0),COLUMNS($D27:Q27)))&amp;"/"&amp;INDEX(Beheer!$B$7:$B$36,COLUMNS($D27:Q27)))</f>
        <v/>
      </c>
      <c r="R27" s="97" t="str" cm="1">
        <f t="array" ref="R27">IF(OR($A27="",COLUMNS($D27:R27)&gt;Beheer!$C$4),"",N(INDEX(Dashboard!$C$2:$AF$61,MATCH(LARGE(Dashboard!$AI$2:$AI$61,$A27),Dashboard!$AI$2:$AI$61,0),COLUMNS($D27:R27)))&amp;"/"&amp;INDEX(Beheer!$B$7:$B$36,COLUMNS($D27:R27)))</f>
        <v/>
      </c>
      <c r="S27" s="97" t="str" cm="1">
        <f t="array" ref="S27">IF(OR($A27="",COLUMNS($D27:S27)&gt;Beheer!$C$4),"",N(INDEX(Dashboard!$C$2:$AF$61,MATCH(LARGE(Dashboard!$AI$2:$AI$61,$A27),Dashboard!$AI$2:$AI$61,0),COLUMNS($D27:S27)))&amp;"/"&amp;INDEX(Beheer!$B$7:$B$36,COLUMNS($D27:S27)))</f>
        <v/>
      </c>
      <c r="T27" s="97" t="str" cm="1">
        <f t="array" ref="T27">IF(OR($A27="",COLUMNS($D27:T27)&gt;Beheer!$C$4),"",N(INDEX(Dashboard!$C$2:$AF$61,MATCH(LARGE(Dashboard!$AI$2:$AI$61,$A27),Dashboard!$AI$2:$AI$61,0),COLUMNS($D27:T27)))&amp;"/"&amp;INDEX(Beheer!$B$7:$B$36,COLUMNS($D27:T27)))</f>
        <v/>
      </c>
      <c r="U27" s="97" t="str" cm="1">
        <f t="array" ref="U27">IF(OR($A27="",COLUMNS($D27:U27)&gt;Beheer!$C$4),"",N(INDEX(Dashboard!$C$2:$AF$61,MATCH(LARGE(Dashboard!$AI$2:$AI$61,$A27),Dashboard!$AI$2:$AI$61,0),COLUMNS($D27:U27)))&amp;"/"&amp;INDEX(Beheer!$B$7:$B$36,COLUMNS($D27:U27)))</f>
        <v/>
      </c>
      <c r="V27" s="97" t="str" cm="1">
        <f t="array" ref="V27">IF(OR($A27="",COLUMNS($D27:V27)&gt;Beheer!$C$4),"",N(INDEX(Dashboard!$C$2:$AF$61,MATCH(LARGE(Dashboard!$AI$2:$AI$61,$A27),Dashboard!$AI$2:$AI$61,0),COLUMNS($D27:V27)))&amp;"/"&amp;INDEX(Beheer!$B$7:$B$36,COLUMNS($D27:V27)))</f>
        <v/>
      </c>
      <c r="W27" s="97" t="str" cm="1">
        <f t="array" ref="W27">IF(OR($A27="",COLUMNS($D27:W27)&gt;Beheer!$C$4),"",N(INDEX(Dashboard!$C$2:$AF$61,MATCH(LARGE(Dashboard!$AI$2:$AI$61,$A27),Dashboard!$AI$2:$AI$61,0),COLUMNS($D27:W27)))&amp;"/"&amp;INDEX(Beheer!$B$7:$B$36,COLUMNS($D27:W27)))</f>
        <v/>
      </c>
      <c r="X27" s="97" t="str" cm="1">
        <f t="array" ref="X27">IF(OR($A27="",COLUMNS($D27:X27)&gt;Beheer!$C$4),"",N(INDEX(Dashboard!$C$2:$AF$61,MATCH(LARGE(Dashboard!$AI$2:$AI$61,$A27),Dashboard!$AI$2:$AI$61,0),COLUMNS($D27:X27)))&amp;"/"&amp;INDEX(Beheer!$B$7:$B$36,COLUMNS($D27:X27)))</f>
        <v/>
      </c>
      <c r="Y27" s="97" t="str" cm="1">
        <f t="array" ref="Y27">IF(OR($A27="",COLUMNS($D27:Y27)&gt;Beheer!$C$4),"",N(INDEX(Dashboard!$C$2:$AF$61,MATCH(LARGE(Dashboard!$AI$2:$AI$61,$A27),Dashboard!$AI$2:$AI$61,0),COLUMNS($D27:Y27)))&amp;"/"&amp;INDEX(Beheer!$B$7:$B$36,COLUMNS($D27:Y27)))</f>
        <v/>
      </c>
      <c r="Z27" s="97" t="str" cm="1">
        <f t="array" ref="Z27">IF(OR($A27="",COLUMNS($D27:Z27)&gt;Beheer!$C$4),"",N(INDEX(Dashboard!$C$2:$AF$61,MATCH(LARGE(Dashboard!$AI$2:$AI$61,$A27),Dashboard!$AI$2:$AI$61,0),COLUMNS($D27:Z27)))&amp;"/"&amp;INDEX(Beheer!$B$7:$B$36,COLUMNS($D27:Z27)))</f>
        <v/>
      </c>
      <c r="AA27" s="97" t="str" cm="1">
        <f t="array" ref="AA27">IF(OR($A27="",COLUMNS($D27:AA27)&gt;Beheer!$C$4),"",N(INDEX(Dashboard!$C$2:$AF$61,MATCH(LARGE(Dashboard!$AI$2:$AI$61,$A27),Dashboard!$AI$2:$AI$61,0),COLUMNS($D27:AA27)))&amp;"/"&amp;INDEX(Beheer!$B$7:$B$36,COLUMNS($D27:AA27)))</f>
        <v/>
      </c>
      <c r="AB27" s="97" t="str" cm="1">
        <f t="array" ref="AB27">IF(OR($A27="",COLUMNS($D27:AB27)&gt;Beheer!$C$4),"",N(INDEX(Dashboard!$C$2:$AF$61,MATCH(LARGE(Dashboard!$AI$2:$AI$61,$A27),Dashboard!$AI$2:$AI$61,0),COLUMNS($D27:AB27)))&amp;"/"&amp;INDEX(Beheer!$B$7:$B$36,COLUMNS($D27:AB27)))</f>
        <v/>
      </c>
      <c r="AC27" s="97" t="str" cm="1">
        <f t="array" ref="AC27">IF(OR($A27="",COLUMNS($D27:AC27)&gt;Beheer!$C$4),"",N(INDEX(Dashboard!$C$2:$AF$61,MATCH(LARGE(Dashboard!$AI$2:$AI$61,$A27),Dashboard!$AI$2:$AI$61,0),COLUMNS($D27:AC27)))&amp;"/"&amp;INDEX(Beheer!$B$7:$B$36,COLUMNS($D27:AC27)))</f>
        <v/>
      </c>
      <c r="AD27" s="97" t="str" cm="1">
        <f t="array" ref="AD27">IF(OR($A27="",COLUMNS($D27:AD27)&gt;Beheer!$C$4),"",N(INDEX(Dashboard!$C$2:$AF$61,MATCH(LARGE(Dashboard!$AI$2:$AI$61,$A27),Dashboard!$AI$2:$AI$61,0),COLUMNS($D27:AD27)))&amp;"/"&amp;INDEX(Beheer!$B$7:$B$36,COLUMNS($D27:AD27)))</f>
        <v/>
      </c>
      <c r="AE27" s="97" t="str" cm="1">
        <f t="array" ref="AE27">IF(OR($A27="",COLUMNS($D27:AE27)&gt;Beheer!$C$4),"",N(INDEX(Dashboard!$C$2:$AF$61,MATCH(LARGE(Dashboard!$AI$2:$AI$61,$A27),Dashboard!$AI$2:$AI$61,0),COLUMNS($D27:AE27)))&amp;"/"&amp;INDEX(Beheer!$B$7:$B$36,COLUMNS($D27:AE27)))</f>
        <v/>
      </c>
      <c r="AF27" s="97" t="str" cm="1">
        <f t="array" ref="AF27">IF(OR($A27="",COLUMNS($D27:AF27)&gt;Beheer!$C$4),"",N(INDEX(Dashboard!$C$2:$AF$61,MATCH(LARGE(Dashboard!$AI$2:$AI$61,$A27),Dashboard!$AI$2:$AI$61,0),COLUMNS($D27:AF27)))&amp;"/"&amp;INDEX(Beheer!$B$7:$B$36,COLUMNS($D27:AF27)))</f>
        <v/>
      </c>
      <c r="AG27" s="97" t="str" cm="1">
        <f t="array" ref="AG27">IF(OR($A27="",COLUMNS($D27:AG27)&gt;Beheer!$C$4),"",N(INDEX(Dashboard!$C$2:$AF$61,MATCH(LARGE(Dashboard!$AI$2:$AI$61,$A27),Dashboard!$AI$2:$AI$61,0),COLUMNS($D27:AG27)))&amp;"/"&amp;INDEX(Beheer!$B$7:$B$36,COLUMNS($D27:AG27)))</f>
        <v/>
      </c>
    </row>
    <row r="28" spans="1:33" ht="24" customHeight="1" thickBot="1" x14ac:dyDescent="0.5">
      <c r="A28" s="99" t="str">
        <f>IF(ROWS($A$2:A28)&gt;COUNTA(Beheer!$F$7:$F$66),"",ROWS($A$2:A28))</f>
        <v/>
      </c>
      <c r="B28" s="102" t="str">
        <f>IF($A28="","",INDEX(Dashboard!$A$2:$A$61,MATCH(LARGE(Dashboard!$AI$2:$AI$61,$A28),Dashboard!$AI$2:$AI$61,0)))</f>
        <v/>
      </c>
      <c r="C28" s="94" t="str">
        <f>IF($A28="","",INDEX(Dashboard!$AG$2:$AG$61,MATCH(LARGE(Dashboard!$AI$2:$AI$61,$A28),Dashboard!$AI$2:$AI$61,0))&amp;" / "&amp;INDEX(Dashboard!$AH$2:$AH$61,MATCH(LARGE(Dashboard!$AI$2:$AI$61,$A28),Dashboard!$AI$2:$AI$61,0)))</f>
        <v/>
      </c>
      <c r="D28" s="95" t="str" cm="1">
        <f t="array" ref="D28">IF(OR($A28="",COLUMNS($D28:D28)&gt;Beheer!$C$4),"",N(INDEX(Dashboard!$C$2:$AF$61,MATCH(LARGE(Dashboard!$AI$2:$AI$61,$A28),Dashboard!$AI$2:$AI$61,0),COLUMNS($D28:D28)))&amp;"/"&amp;INDEX(Beheer!$B$7:$B$36,COLUMNS($D28:D28)))</f>
        <v/>
      </c>
      <c r="E28" s="95" t="str" cm="1">
        <f t="array" ref="E28">IF(OR($A28="",COLUMNS($D28:E28)&gt;Beheer!$C$4),"",N(INDEX(Dashboard!$C$2:$AF$61,MATCH(LARGE(Dashboard!$AI$2:$AI$61,$A28),Dashboard!$AI$2:$AI$61,0),COLUMNS($D28:E28)))&amp;"/"&amp;INDEX(Beheer!$B$7:$B$36,COLUMNS($D28:E28)))</f>
        <v/>
      </c>
      <c r="F28" s="95" t="str" cm="1">
        <f t="array" ref="F28">IF(OR($A28="",COLUMNS($D28:F28)&gt;Beheer!$C$4),"",N(INDEX(Dashboard!$C$2:$AF$61,MATCH(LARGE(Dashboard!$AI$2:$AI$61,$A28),Dashboard!$AI$2:$AI$61,0),COLUMNS($D28:F28)))&amp;"/"&amp;INDEX(Beheer!$B$7:$B$36,COLUMNS($D28:F28)))</f>
        <v/>
      </c>
      <c r="G28" s="95" t="str" cm="1">
        <f t="array" ref="G28">IF(OR($A28="",COLUMNS($D28:G28)&gt;Beheer!$C$4),"",N(INDEX(Dashboard!$C$2:$AF$61,MATCH(LARGE(Dashboard!$AI$2:$AI$61,$A28),Dashboard!$AI$2:$AI$61,0),COLUMNS($D28:G28)))&amp;"/"&amp;INDEX(Beheer!$B$7:$B$36,COLUMNS($D28:G28)))</f>
        <v/>
      </c>
      <c r="H28" s="95" t="str" cm="1">
        <f t="array" ref="H28">IF(OR($A28="",COLUMNS($D28:H28)&gt;Beheer!$C$4),"",N(INDEX(Dashboard!$C$2:$AF$61,MATCH(LARGE(Dashboard!$AI$2:$AI$61,$A28),Dashboard!$AI$2:$AI$61,0),COLUMNS($D28:H28)))&amp;"/"&amp;INDEX(Beheer!$B$7:$B$36,COLUMNS($D28:H28)))</f>
        <v/>
      </c>
      <c r="I28" s="95" t="str" cm="1">
        <f t="array" ref="I28">IF(OR($A28="",COLUMNS($D28:I28)&gt;Beheer!$C$4),"",N(INDEX(Dashboard!$C$2:$AF$61,MATCH(LARGE(Dashboard!$AI$2:$AI$61,$A28),Dashboard!$AI$2:$AI$61,0),COLUMNS($D28:I28)))&amp;"/"&amp;INDEX(Beheer!$B$7:$B$36,COLUMNS($D28:I28)))</f>
        <v/>
      </c>
      <c r="J28" s="95" t="str" cm="1">
        <f t="array" ref="J28">IF(OR($A28="",COLUMNS($D28:J28)&gt;Beheer!$C$4),"",N(INDEX(Dashboard!$C$2:$AF$61,MATCH(LARGE(Dashboard!$AI$2:$AI$61,$A28),Dashboard!$AI$2:$AI$61,0),COLUMNS($D28:J28)))&amp;"/"&amp;INDEX(Beheer!$B$7:$B$36,COLUMNS($D28:J28)))</f>
        <v/>
      </c>
      <c r="K28" s="95" t="str" cm="1">
        <f t="array" ref="K28">IF(OR($A28="",COLUMNS($D28:K28)&gt;Beheer!$C$4),"",N(INDEX(Dashboard!$C$2:$AF$61,MATCH(LARGE(Dashboard!$AI$2:$AI$61,$A28),Dashboard!$AI$2:$AI$61,0),COLUMNS($D28:K28)))&amp;"/"&amp;INDEX(Beheer!$B$7:$B$36,COLUMNS($D28:K28)))</f>
        <v/>
      </c>
      <c r="L28" s="95" t="str" cm="1">
        <f t="array" ref="L28">IF(OR($A28="",COLUMNS($D28:L28)&gt;Beheer!$C$4),"",N(INDEX(Dashboard!$C$2:$AF$61,MATCH(LARGE(Dashboard!$AI$2:$AI$61,$A28),Dashboard!$AI$2:$AI$61,0),COLUMNS($D28:L28)))&amp;"/"&amp;INDEX(Beheer!$B$7:$B$36,COLUMNS($D28:L28)))</f>
        <v/>
      </c>
      <c r="M28" s="95" t="str" cm="1">
        <f t="array" ref="M28">IF(OR($A28="",COLUMNS($D28:M28)&gt;Beheer!$C$4),"",N(INDEX(Dashboard!$C$2:$AF$61,MATCH(LARGE(Dashboard!$AI$2:$AI$61,$A28),Dashboard!$AI$2:$AI$61,0),COLUMNS($D28:M28)))&amp;"/"&amp;INDEX(Beheer!$B$7:$B$36,COLUMNS($D28:M28)))</f>
        <v/>
      </c>
      <c r="N28" s="95" t="str" cm="1">
        <f t="array" ref="N28">IF(OR($A28="",COLUMNS($D28:N28)&gt;Beheer!$C$4),"",N(INDEX(Dashboard!$C$2:$AF$61,MATCH(LARGE(Dashboard!$AI$2:$AI$61,$A28),Dashboard!$AI$2:$AI$61,0),COLUMNS($D28:N28)))&amp;"/"&amp;INDEX(Beheer!$B$7:$B$36,COLUMNS($D28:N28)))</f>
        <v/>
      </c>
      <c r="O28" s="95" t="str" cm="1">
        <f t="array" ref="O28">IF(OR($A28="",COLUMNS($D28:O28)&gt;Beheer!$C$4),"",N(INDEX(Dashboard!$C$2:$AF$61,MATCH(LARGE(Dashboard!$AI$2:$AI$61,$A28),Dashboard!$AI$2:$AI$61,0),COLUMNS($D28:O28)))&amp;"/"&amp;INDEX(Beheer!$B$7:$B$36,COLUMNS($D28:O28)))</f>
        <v/>
      </c>
      <c r="P28" s="95" t="str" cm="1">
        <f t="array" ref="P28">IF(OR($A28="",COLUMNS($D28:P28)&gt;Beheer!$C$4),"",N(INDEX(Dashboard!$C$2:$AF$61,MATCH(LARGE(Dashboard!$AI$2:$AI$61,$A28),Dashboard!$AI$2:$AI$61,0),COLUMNS($D28:P28)))&amp;"/"&amp;INDEX(Beheer!$B$7:$B$36,COLUMNS($D28:P28)))</f>
        <v/>
      </c>
      <c r="Q28" s="95" t="str" cm="1">
        <f t="array" ref="Q28">IF(OR($A28="",COLUMNS($D28:Q28)&gt;Beheer!$C$4),"",N(INDEX(Dashboard!$C$2:$AF$61,MATCH(LARGE(Dashboard!$AI$2:$AI$61,$A28),Dashboard!$AI$2:$AI$61,0),COLUMNS($D28:Q28)))&amp;"/"&amp;INDEX(Beheer!$B$7:$B$36,COLUMNS($D28:Q28)))</f>
        <v/>
      </c>
      <c r="R28" s="95" t="str" cm="1">
        <f t="array" ref="R28">IF(OR($A28="",COLUMNS($D28:R28)&gt;Beheer!$C$4),"",N(INDEX(Dashboard!$C$2:$AF$61,MATCH(LARGE(Dashboard!$AI$2:$AI$61,$A28),Dashboard!$AI$2:$AI$61,0),COLUMNS($D28:R28)))&amp;"/"&amp;INDEX(Beheer!$B$7:$B$36,COLUMNS($D28:R28)))</f>
        <v/>
      </c>
      <c r="S28" s="95" t="str" cm="1">
        <f t="array" ref="S28">IF(OR($A28="",COLUMNS($D28:S28)&gt;Beheer!$C$4),"",N(INDEX(Dashboard!$C$2:$AF$61,MATCH(LARGE(Dashboard!$AI$2:$AI$61,$A28),Dashboard!$AI$2:$AI$61,0),COLUMNS($D28:S28)))&amp;"/"&amp;INDEX(Beheer!$B$7:$B$36,COLUMNS($D28:S28)))</f>
        <v/>
      </c>
      <c r="T28" s="95" t="str" cm="1">
        <f t="array" ref="T28">IF(OR($A28="",COLUMNS($D28:T28)&gt;Beheer!$C$4),"",N(INDEX(Dashboard!$C$2:$AF$61,MATCH(LARGE(Dashboard!$AI$2:$AI$61,$A28),Dashboard!$AI$2:$AI$61,0),COLUMNS($D28:T28)))&amp;"/"&amp;INDEX(Beheer!$B$7:$B$36,COLUMNS($D28:T28)))</f>
        <v/>
      </c>
      <c r="U28" s="95" t="str" cm="1">
        <f t="array" ref="U28">IF(OR($A28="",COLUMNS($D28:U28)&gt;Beheer!$C$4),"",N(INDEX(Dashboard!$C$2:$AF$61,MATCH(LARGE(Dashboard!$AI$2:$AI$61,$A28),Dashboard!$AI$2:$AI$61,0),COLUMNS($D28:U28)))&amp;"/"&amp;INDEX(Beheer!$B$7:$B$36,COLUMNS($D28:U28)))</f>
        <v/>
      </c>
      <c r="V28" s="95" t="str" cm="1">
        <f t="array" ref="V28">IF(OR($A28="",COLUMNS($D28:V28)&gt;Beheer!$C$4),"",N(INDEX(Dashboard!$C$2:$AF$61,MATCH(LARGE(Dashboard!$AI$2:$AI$61,$A28),Dashboard!$AI$2:$AI$61,0),COLUMNS($D28:V28)))&amp;"/"&amp;INDEX(Beheer!$B$7:$B$36,COLUMNS($D28:V28)))</f>
        <v/>
      </c>
      <c r="W28" s="95" t="str" cm="1">
        <f t="array" ref="W28">IF(OR($A28="",COLUMNS($D28:W28)&gt;Beheer!$C$4),"",N(INDEX(Dashboard!$C$2:$AF$61,MATCH(LARGE(Dashboard!$AI$2:$AI$61,$A28),Dashboard!$AI$2:$AI$61,0),COLUMNS($D28:W28)))&amp;"/"&amp;INDEX(Beheer!$B$7:$B$36,COLUMNS($D28:W28)))</f>
        <v/>
      </c>
      <c r="X28" s="95" t="str" cm="1">
        <f t="array" ref="X28">IF(OR($A28="",COLUMNS($D28:X28)&gt;Beheer!$C$4),"",N(INDEX(Dashboard!$C$2:$AF$61,MATCH(LARGE(Dashboard!$AI$2:$AI$61,$A28),Dashboard!$AI$2:$AI$61,0),COLUMNS($D28:X28)))&amp;"/"&amp;INDEX(Beheer!$B$7:$B$36,COLUMNS($D28:X28)))</f>
        <v/>
      </c>
      <c r="Y28" s="95" t="str" cm="1">
        <f t="array" ref="Y28">IF(OR($A28="",COLUMNS($D28:Y28)&gt;Beheer!$C$4),"",N(INDEX(Dashboard!$C$2:$AF$61,MATCH(LARGE(Dashboard!$AI$2:$AI$61,$A28),Dashboard!$AI$2:$AI$61,0),COLUMNS($D28:Y28)))&amp;"/"&amp;INDEX(Beheer!$B$7:$B$36,COLUMNS($D28:Y28)))</f>
        <v/>
      </c>
      <c r="Z28" s="95" t="str" cm="1">
        <f t="array" ref="Z28">IF(OR($A28="",COLUMNS($D28:Z28)&gt;Beheer!$C$4),"",N(INDEX(Dashboard!$C$2:$AF$61,MATCH(LARGE(Dashboard!$AI$2:$AI$61,$A28),Dashboard!$AI$2:$AI$61,0),COLUMNS($D28:Z28)))&amp;"/"&amp;INDEX(Beheer!$B$7:$B$36,COLUMNS($D28:Z28)))</f>
        <v/>
      </c>
      <c r="AA28" s="95" t="str" cm="1">
        <f t="array" ref="AA28">IF(OR($A28="",COLUMNS($D28:AA28)&gt;Beheer!$C$4),"",N(INDEX(Dashboard!$C$2:$AF$61,MATCH(LARGE(Dashboard!$AI$2:$AI$61,$A28),Dashboard!$AI$2:$AI$61,0),COLUMNS($D28:AA28)))&amp;"/"&amp;INDEX(Beheer!$B$7:$B$36,COLUMNS($D28:AA28)))</f>
        <v/>
      </c>
      <c r="AB28" s="95" t="str" cm="1">
        <f t="array" ref="AB28">IF(OR($A28="",COLUMNS($D28:AB28)&gt;Beheer!$C$4),"",N(INDEX(Dashboard!$C$2:$AF$61,MATCH(LARGE(Dashboard!$AI$2:$AI$61,$A28),Dashboard!$AI$2:$AI$61,0),COLUMNS($D28:AB28)))&amp;"/"&amp;INDEX(Beheer!$B$7:$B$36,COLUMNS($D28:AB28)))</f>
        <v/>
      </c>
      <c r="AC28" s="95" t="str" cm="1">
        <f t="array" ref="AC28">IF(OR($A28="",COLUMNS($D28:AC28)&gt;Beheer!$C$4),"",N(INDEX(Dashboard!$C$2:$AF$61,MATCH(LARGE(Dashboard!$AI$2:$AI$61,$A28),Dashboard!$AI$2:$AI$61,0),COLUMNS($D28:AC28)))&amp;"/"&amp;INDEX(Beheer!$B$7:$B$36,COLUMNS($D28:AC28)))</f>
        <v/>
      </c>
      <c r="AD28" s="95" t="str" cm="1">
        <f t="array" ref="AD28">IF(OR($A28="",COLUMNS($D28:AD28)&gt;Beheer!$C$4),"",N(INDEX(Dashboard!$C$2:$AF$61,MATCH(LARGE(Dashboard!$AI$2:$AI$61,$A28),Dashboard!$AI$2:$AI$61,0),COLUMNS($D28:AD28)))&amp;"/"&amp;INDEX(Beheer!$B$7:$B$36,COLUMNS($D28:AD28)))</f>
        <v/>
      </c>
      <c r="AE28" s="95" t="str" cm="1">
        <f t="array" ref="AE28">IF(OR($A28="",COLUMNS($D28:AE28)&gt;Beheer!$C$4),"",N(INDEX(Dashboard!$C$2:$AF$61,MATCH(LARGE(Dashboard!$AI$2:$AI$61,$A28),Dashboard!$AI$2:$AI$61,0),COLUMNS($D28:AE28)))&amp;"/"&amp;INDEX(Beheer!$B$7:$B$36,COLUMNS($D28:AE28)))</f>
        <v/>
      </c>
      <c r="AF28" s="95" t="str" cm="1">
        <f t="array" ref="AF28">IF(OR($A28="",COLUMNS($D28:AF28)&gt;Beheer!$C$4),"",N(INDEX(Dashboard!$C$2:$AF$61,MATCH(LARGE(Dashboard!$AI$2:$AI$61,$A28),Dashboard!$AI$2:$AI$61,0),COLUMNS($D28:AF28)))&amp;"/"&amp;INDEX(Beheer!$B$7:$B$36,COLUMNS($D28:AF28)))</f>
        <v/>
      </c>
      <c r="AG28" s="95" t="str" cm="1">
        <f t="array" ref="AG28">IF(OR($A28="",COLUMNS($D28:AG28)&gt;Beheer!$C$4),"",N(INDEX(Dashboard!$C$2:$AF$61,MATCH(LARGE(Dashboard!$AI$2:$AI$61,$A28),Dashboard!$AI$2:$AI$61,0),COLUMNS($D28:AG28)))&amp;"/"&amp;INDEX(Beheer!$B$7:$B$36,COLUMNS($D28:AG28)))</f>
        <v/>
      </c>
    </row>
    <row r="29" spans="1:33" ht="24" customHeight="1" thickBot="1" x14ac:dyDescent="0.5">
      <c r="A29" s="98" t="str">
        <f>IF(ROWS($A$2:A29)&gt;COUNTA(Beheer!$F$7:$F$66),"",ROWS($A$2:A29))</f>
        <v/>
      </c>
      <c r="B29" s="101" t="str">
        <f>IF($A29="","",INDEX(Dashboard!$A$2:$A$61,MATCH(LARGE(Dashboard!$AI$2:$AI$61,$A29),Dashboard!$AI$2:$AI$61,0)))</f>
        <v/>
      </c>
      <c r="C29" s="96" t="str">
        <f>IF($A29="","",INDEX(Dashboard!$AG$2:$AG$61,MATCH(LARGE(Dashboard!$AI$2:$AI$61,$A29),Dashboard!$AI$2:$AI$61,0))&amp;" / "&amp;INDEX(Dashboard!$AH$2:$AH$61,MATCH(LARGE(Dashboard!$AI$2:$AI$61,$A29),Dashboard!$AI$2:$AI$61,0)))</f>
        <v/>
      </c>
      <c r="D29" s="97" t="str" cm="1">
        <f t="array" ref="D29">IF(OR($A29="",COLUMNS($D29:D29)&gt;Beheer!$C$4),"",N(INDEX(Dashboard!$C$2:$AF$61,MATCH(LARGE(Dashboard!$AI$2:$AI$61,$A29),Dashboard!$AI$2:$AI$61,0),COLUMNS($D29:D29)))&amp;"/"&amp;INDEX(Beheer!$B$7:$B$36,COLUMNS($D29:D29)))</f>
        <v/>
      </c>
      <c r="E29" s="97" t="str" cm="1">
        <f t="array" ref="E29">IF(OR($A29="",COLUMNS($D29:E29)&gt;Beheer!$C$4),"",N(INDEX(Dashboard!$C$2:$AF$61,MATCH(LARGE(Dashboard!$AI$2:$AI$61,$A29),Dashboard!$AI$2:$AI$61,0),COLUMNS($D29:E29)))&amp;"/"&amp;INDEX(Beheer!$B$7:$B$36,COLUMNS($D29:E29)))</f>
        <v/>
      </c>
      <c r="F29" s="97" t="str" cm="1">
        <f t="array" ref="F29">IF(OR($A29="",COLUMNS($D29:F29)&gt;Beheer!$C$4),"",N(INDEX(Dashboard!$C$2:$AF$61,MATCH(LARGE(Dashboard!$AI$2:$AI$61,$A29),Dashboard!$AI$2:$AI$61,0),COLUMNS($D29:F29)))&amp;"/"&amp;INDEX(Beheer!$B$7:$B$36,COLUMNS($D29:F29)))</f>
        <v/>
      </c>
      <c r="G29" s="97" t="str" cm="1">
        <f t="array" ref="G29">IF(OR($A29="",COLUMNS($D29:G29)&gt;Beheer!$C$4),"",N(INDEX(Dashboard!$C$2:$AF$61,MATCH(LARGE(Dashboard!$AI$2:$AI$61,$A29),Dashboard!$AI$2:$AI$61,0),COLUMNS($D29:G29)))&amp;"/"&amp;INDEX(Beheer!$B$7:$B$36,COLUMNS($D29:G29)))</f>
        <v/>
      </c>
      <c r="H29" s="97" t="str" cm="1">
        <f t="array" ref="H29">IF(OR($A29="",COLUMNS($D29:H29)&gt;Beheer!$C$4),"",N(INDEX(Dashboard!$C$2:$AF$61,MATCH(LARGE(Dashboard!$AI$2:$AI$61,$A29),Dashboard!$AI$2:$AI$61,0),COLUMNS($D29:H29)))&amp;"/"&amp;INDEX(Beheer!$B$7:$B$36,COLUMNS($D29:H29)))</f>
        <v/>
      </c>
      <c r="I29" s="97" t="str" cm="1">
        <f t="array" ref="I29">IF(OR($A29="",COLUMNS($D29:I29)&gt;Beheer!$C$4),"",N(INDEX(Dashboard!$C$2:$AF$61,MATCH(LARGE(Dashboard!$AI$2:$AI$61,$A29),Dashboard!$AI$2:$AI$61,0),COLUMNS($D29:I29)))&amp;"/"&amp;INDEX(Beheer!$B$7:$B$36,COLUMNS($D29:I29)))</f>
        <v/>
      </c>
      <c r="J29" s="97" t="str" cm="1">
        <f t="array" ref="J29">IF(OR($A29="",COLUMNS($D29:J29)&gt;Beheer!$C$4),"",N(INDEX(Dashboard!$C$2:$AF$61,MATCH(LARGE(Dashboard!$AI$2:$AI$61,$A29),Dashboard!$AI$2:$AI$61,0),COLUMNS($D29:J29)))&amp;"/"&amp;INDEX(Beheer!$B$7:$B$36,COLUMNS($D29:J29)))</f>
        <v/>
      </c>
      <c r="K29" s="97" t="str" cm="1">
        <f t="array" ref="K29">IF(OR($A29="",COLUMNS($D29:K29)&gt;Beheer!$C$4),"",N(INDEX(Dashboard!$C$2:$AF$61,MATCH(LARGE(Dashboard!$AI$2:$AI$61,$A29),Dashboard!$AI$2:$AI$61,0),COLUMNS($D29:K29)))&amp;"/"&amp;INDEX(Beheer!$B$7:$B$36,COLUMNS($D29:K29)))</f>
        <v/>
      </c>
      <c r="L29" s="97" t="str" cm="1">
        <f t="array" ref="L29">IF(OR($A29="",COLUMNS($D29:L29)&gt;Beheer!$C$4),"",N(INDEX(Dashboard!$C$2:$AF$61,MATCH(LARGE(Dashboard!$AI$2:$AI$61,$A29),Dashboard!$AI$2:$AI$61,0),COLUMNS($D29:L29)))&amp;"/"&amp;INDEX(Beheer!$B$7:$B$36,COLUMNS($D29:L29)))</f>
        <v/>
      </c>
      <c r="M29" s="97" t="str" cm="1">
        <f t="array" ref="M29">IF(OR($A29="",COLUMNS($D29:M29)&gt;Beheer!$C$4),"",N(INDEX(Dashboard!$C$2:$AF$61,MATCH(LARGE(Dashboard!$AI$2:$AI$61,$A29),Dashboard!$AI$2:$AI$61,0),COLUMNS($D29:M29)))&amp;"/"&amp;INDEX(Beheer!$B$7:$B$36,COLUMNS($D29:M29)))</f>
        <v/>
      </c>
      <c r="N29" s="97" t="str" cm="1">
        <f t="array" ref="N29">IF(OR($A29="",COLUMNS($D29:N29)&gt;Beheer!$C$4),"",N(INDEX(Dashboard!$C$2:$AF$61,MATCH(LARGE(Dashboard!$AI$2:$AI$61,$A29),Dashboard!$AI$2:$AI$61,0),COLUMNS($D29:N29)))&amp;"/"&amp;INDEX(Beheer!$B$7:$B$36,COLUMNS($D29:N29)))</f>
        <v/>
      </c>
      <c r="O29" s="97" t="str" cm="1">
        <f t="array" ref="O29">IF(OR($A29="",COLUMNS($D29:O29)&gt;Beheer!$C$4),"",N(INDEX(Dashboard!$C$2:$AF$61,MATCH(LARGE(Dashboard!$AI$2:$AI$61,$A29),Dashboard!$AI$2:$AI$61,0),COLUMNS($D29:O29)))&amp;"/"&amp;INDEX(Beheer!$B$7:$B$36,COLUMNS($D29:O29)))</f>
        <v/>
      </c>
      <c r="P29" s="97" t="str" cm="1">
        <f t="array" ref="P29">IF(OR($A29="",COLUMNS($D29:P29)&gt;Beheer!$C$4),"",N(INDEX(Dashboard!$C$2:$AF$61,MATCH(LARGE(Dashboard!$AI$2:$AI$61,$A29),Dashboard!$AI$2:$AI$61,0),COLUMNS($D29:P29)))&amp;"/"&amp;INDEX(Beheer!$B$7:$B$36,COLUMNS($D29:P29)))</f>
        <v/>
      </c>
      <c r="Q29" s="97" t="str" cm="1">
        <f t="array" ref="Q29">IF(OR($A29="",COLUMNS($D29:Q29)&gt;Beheer!$C$4),"",N(INDEX(Dashboard!$C$2:$AF$61,MATCH(LARGE(Dashboard!$AI$2:$AI$61,$A29),Dashboard!$AI$2:$AI$61,0),COLUMNS($D29:Q29)))&amp;"/"&amp;INDEX(Beheer!$B$7:$B$36,COLUMNS($D29:Q29)))</f>
        <v/>
      </c>
      <c r="R29" s="97" t="str" cm="1">
        <f t="array" ref="R29">IF(OR($A29="",COLUMNS($D29:R29)&gt;Beheer!$C$4),"",N(INDEX(Dashboard!$C$2:$AF$61,MATCH(LARGE(Dashboard!$AI$2:$AI$61,$A29),Dashboard!$AI$2:$AI$61,0),COLUMNS($D29:R29)))&amp;"/"&amp;INDEX(Beheer!$B$7:$B$36,COLUMNS($D29:R29)))</f>
        <v/>
      </c>
      <c r="S29" s="97" t="str" cm="1">
        <f t="array" ref="S29">IF(OR($A29="",COLUMNS($D29:S29)&gt;Beheer!$C$4),"",N(INDEX(Dashboard!$C$2:$AF$61,MATCH(LARGE(Dashboard!$AI$2:$AI$61,$A29),Dashboard!$AI$2:$AI$61,0),COLUMNS($D29:S29)))&amp;"/"&amp;INDEX(Beheer!$B$7:$B$36,COLUMNS($D29:S29)))</f>
        <v/>
      </c>
      <c r="T29" s="97" t="str" cm="1">
        <f t="array" ref="T29">IF(OR($A29="",COLUMNS($D29:T29)&gt;Beheer!$C$4),"",N(INDEX(Dashboard!$C$2:$AF$61,MATCH(LARGE(Dashboard!$AI$2:$AI$61,$A29),Dashboard!$AI$2:$AI$61,0),COLUMNS($D29:T29)))&amp;"/"&amp;INDEX(Beheer!$B$7:$B$36,COLUMNS($D29:T29)))</f>
        <v/>
      </c>
      <c r="U29" s="97" t="str" cm="1">
        <f t="array" ref="U29">IF(OR($A29="",COLUMNS($D29:U29)&gt;Beheer!$C$4),"",N(INDEX(Dashboard!$C$2:$AF$61,MATCH(LARGE(Dashboard!$AI$2:$AI$61,$A29),Dashboard!$AI$2:$AI$61,0),COLUMNS($D29:U29)))&amp;"/"&amp;INDEX(Beheer!$B$7:$B$36,COLUMNS($D29:U29)))</f>
        <v/>
      </c>
      <c r="V29" s="97" t="str" cm="1">
        <f t="array" ref="V29">IF(OR($A29="",COLUMNS($D29:V29)&gt;Beheer!$C$4),"",N(INDEX(Dashboard!$C$2:$AF$61,MATCH(LARGE(Dashboard!$AI$2:$AI$61,$A29),Dashboard!$AI$2:$AI$61,0),COLUMNS($D29:V29)))&amp;"/"&amp;INDEX(Beheer!$B$7:$B$36,COLUMNS($D29:V29)))</f>
        <v/>
      </c>
      <c r="W29" s="97" t="str" cm="1">
        <f t="array" ref="W29">IF(OR($A29="",COLUMNS($D29:W29)&gt;Beheer!$C$4),"",N(INDEX(Dashboard!$C$2:$AF$61,MATCH(LARGE(Dashboard!$AI$2:$AI$61,$A29),Dashboard!$AI$2:$AI$61,0),COLUMNS($D29:W29)))&amp;"/"&amp;INDEX(Beheer!$B$7:$B$36,COLUMNS($D29:W29)))</f>
        <v/>
      </c>
      <c r="X29" s="97" t="str" cm="1">
        <f t="array" ref="X29">IF(OR($A29="",COLUMNS($D29:X29)&gt;Beheer!$C$4),"",N(INDEX(Dashboard!$C$2:$AF$61,MATCH(LARGE(Dashboard!$AI$2:$AI$61,$A29),Dashboard!$AI$2:$AI$61,0),COLUMNS($D29:X29)))&amp;"/"&amp;INDEX(Beheer!$B$7:$B$36,COLUMNS($D29:X29)))</f>
        <v/>
      </c>
      <c r="Y29" s="97" t="str" cm="1">
        <f t="array" ref="Y29">IF(OR($A29="",COLUMNS($D29:Y29)&gt;Beheer!$C$4),"",N(INDEX(Dashboard!$C$2:$AF$61,MATCH(LARGE(Dashboard!$AI$2:$AI$61,$A29),Dashboard!$AI$2:$AI$61,0),COLUMNS($D29:Y29)))&amp;"/"&amp;INDEX(Beheer!$B$7:$B$36,COLUMNS($D29:Y29)))</f>
        <v/>
      </c>
      <c r="Z29" s="97" t="str" cm="1">
        <f t="array" ref="Z29">IF(OR($A29="",COLUMNS($D29:Z29)&gt;Beheer!$C$4),"",N(INDEX(Dashboard!$C$2:$AF$61,MATCH(LARGE(Dashboard!$AI$2:$AI$61,$A29),Dashboard!$AI$2:$AI$61,0),COLUMNS($D29:Z29)))&amp;"/"&amp;INDEX(Beheer!$B$7:$B$36,COLUMNS($D29:Z29)))</f>
        <v/>
      </c>
      <c r="AA29" s="97" t="str" cm="1">
        <f t="array" ref="AA29">IF(OR($A29="",COLUMNS($D29:AA29)&gt;Beheer!$C$4),"",N(INDEX(Dashboard!$C$2:$AF$61,MATCH(LARGE(Dashboard!$AI$2:$AI$61,$A29),Dashboard!$AI$2:$AI$61,0),COLUMNS($D29:AA29)))&amp;"/"&amp;INDEX(Beheer!$B$7:$B$36,COLUMNS($D29:AA29)))</f>
        <v/>
      </c>
      <c r="AB29" s="97" t="str" cm="1">
        <f t="array" ref="AB29">IF(OR($A29="",COLUMNS($D29:AB29)&gt;Beheer!$C$4),"",N(INDEX(Dashboard!$C$2:$AF$61,MATCH(LARGE(Dashboard!$AI$2:$AI$61,$A29),Dashboard!$AI$2:$AI$61,0),COLUMNS($D29:AB29)))&amp;"/"&amp;INDEX(Beheer!$B$7:$B$36,COLUMNS($D29:AB29)))</f>
        <v/>
      </c>
      <c r="AC29" s="97" t="str" cm="1">
        <f t="array" ref="AC29">IF(OR($A29="",COLUMNS($D29:AC29)&gt;Beheer!$C$4),"",N(INDEX(Dashboard!$C$2:$AF$61,MATCH(LARGE(Dashboard!$AI$2:$AI$61,$A29),Dashboard!$AI$2:$AI$61,0),COLUMNS($D29:AC29)))&amp;"/"&amp;INDEX(Beheer!$B$7:$B$36,COLUMNS($D29:AC29)))</f>
        <v/>
      </c>
      <c r="AD29" s="97" t="str" cm="1">
        <f t="array" ref="AD29">IF(OR($A29="",COLUMNS($D29:AD29)&gt;Beheer!$C$4),"",N(INDEX(Dashboard!$C$2:$AF$61,MATCH(LARGE(Dashboard!$AI$2:$AI$61,$A29),Dashboard!$AI$2:$AI$61,0),COLUMNS($D29:AD29)))&amp;"/"&amp;INDEX(Beheer!$B$7:$B$36,COLUMNS($D29:AD29)))</f>
        <v/>
      </c>
      <c r="AE29" s="97" t="str" cm="1">
        <f t="array" ref="AE29">IF(OR($A29="",COLUMNS($D29:AE29)&gt;Beheer!$C$4),"",N(INDEX(Dashboard!$C$2:$AF$61,MATCH(LARGE(Dashboard!$AI$2:$AI$61,$A29),Dashboard!$AI$2:$AI$61,0),COLUMNS($D29:AE29)))&amp;"/"&amp;INDEX(Beheer!$B$7:$B$36,COLUMNS($D29:AE29)))</f>
        <v/>
      </c>
      <c r="AF29" s="97" t="str" cm="1">
        <f t="array" ref="AF29">IF(OR($A29="",COLUMNS($D29:AF29)&gt;Beheer!$C$4),"",N(INDEX(Dashboard!$C$2:$AF$61,MATCH(LARGE(Dashboard!$AI$2:$AI$61,$A29),Dashboard!$AI$2:$AI$61,0),COLUMNS($D29:AF29)))&amp;"/"&amp;INDEX(Beheer!$B$7:$B$36,COLUMNS($D29:AF29)))</f>
        <v/>
      </c>
      <c r="AG29" s="97" t="str" cm="1">
        <f t="array" ref="AG29">IF(OR($A29="",COLUMNS($D29:AG29)&gt;Beheer!$C$4),"",N(INDEX(Dashboard!$C$2:$AF$61,MATCH(LARGE(Dashboard!$AI$2:$AI$61,$A29),Dashboard!$AI$2:$AI$61,0),COLUMNS($D29:AG29)))&amp;"/"&amp;INDEX(Beheer!$B$7:$B$36,COLUMNS($D29:AG29)))</f>
        <v/>
      </c>
    </row>
    <row r="30" spans="1:33" ht="24" customHeight="1" thickBot="1" x14ac:dyDescent="0.5">
      <c r="A30" s="99" t="str">
        <f>IF(ROWS($A$2:A30)&gt;COUNTA(Beheer!$F$7:$F$66),"",ROWS($A$2:A30))</f>
        <v/>
      </c>
      <c r="B30" s="102" t="str">
        <f>IF($A30="","",INDEX(Dashboard!$A$2:$A$61,MATCH(LARGE(Dashboard!$AI$2:$AI$61,$A30),Dashboard!$AI$2:$AI$61,0)))</f>
        <v/>
      </c>
      <c r="C30" s="94" t="str">
        <f>IF($A30="","",INDEX(Dashboard!$AG$2:$AG$61,MATCH(LARGE(Dashboard!$AI$2:$AI$61,$A30),Dashboard!$AI$2:$AI$61,0))&amp;" / "&amp;INDEX(Dashboard!$AH$2:$AH$61,MATCH(LARGE(Dashboard!$AI$2:$AI$61,$A30),Dashboard!$AI$2:$AI$61,0)))</f>
        <v/>
      </c>
      <c r="D30" s="95" t="str" cm="1">
        <f t="array" ref="D30">IF(OR($A30="",COLUMNS($D30:D30)&gt;Beheer!$C$4),"",N(INDEX(Dashboard!$C$2:$AF$61,MATCH(LARGE(Dashboard!$AI$2:$AI$61,$A30),Dashboard!$AI$2:$AI$61,0),COLUMNS($D30:D30)))&amp;"/"&amp;INDEX(Beheer!$B$7:$B$36,COLUMNS($D30:D30)))</f>
        <v/>
      </c>
      <c r="E30" s="95" t="str" cm="1">
        <f t="array" ref="E30">IF(OR($A30="",COLUMNS($D30:E30)&gt;Beheer!$C$4),"",N(INDEX(Dashboard!$C$2:$AF$61,MATCH(LARGE(Dashboard!$AI$2:$AI$61,$A30),Dashboard!$AI$2:$AI$61,0),COLUMNS($D30:E30)))&amp;"/"&amp;INDEX(Beheer!$B$7:$B$36,COLUMNS($D30:E30)))</f>
        <v/>
      </c>
      <c r="F30" s="95" t="str" cm="1">
        <f t="array" ref="F30">IF(OR($A30="",COLUMNS($D30:F30)&gt;Beheer!$C$4),"",N(INDEX(Dashboard!$C$2:$AF$61,MATCH(LARGE(Dashboard!$AI$2:$AI$61,$A30),Dashboard!$AI$2:$AI$61,0),COLUMNS($D30:F30)))&amp;"/"&amp;INDEX(Beheer!$B$7:$B$36,COLUMNS($D30:F30)))</f>
        <v/>
      </c>
      <c r="G30" s="95" t="str" cm="1">
        <f t="array" ref="G30">IF(OR($A30="",COLUMNS($D30:G30)&gt;Beheer!$C$4),"",N(INDEX(Dashboard!$C$2:$AF$61,MATCH(LARGE(Dashboard!$AI$2:$AI$61,$A30),Dashboard!$AI$2:$AI$61,0),COLUMNS($D30:G30)))&amp;"/"&amp;INDEX(Beheer!$B$7:$B$36,COLUMNS($D30:G30)))</f>
        <v/>
      </c>
      <c r="H30" s="95" t="str" cm="1">
        <f t="array" ref="H30">IF(OR($A30="",COLUMNS($D30:H30)&gt;Beheer!$C$4),"",N(INDEX(Dashboard!$C$2:$AF$61,MATCH(LARGE(Dashboard!$AI$2:$AI$61,$A30),Dashboard!$AI$2:$AI$61,0),COLUMNS($D30:H30)))&amp;"/"&amp;INDEX(Beheer!$B$7:$B$36,COLUMNS($D30:H30)))</f>
        <v/>
      </c>
      <c r="I30" s="95" t="str" cm="1">
        <f t="array" ref="I30">IF(OR($A30="",COLUMNS($D30:I30)&gt;Beheer!$C$4),"",N(INDEX(Dashboard!$C$2:$AF$61,MATCH(LARGE(Dashboard!$AI$2:$AI$61,$A30),Dashboard!$AI$2:$AI$61,0),COLUMNS($D30:I30)))&amp;"/"&amp;INDEX(Beheer!$B$7:$B$36,COLUMNS($D30:I30)))</f>
        <v/>
      </c>
      <c r="J30" s="95" t="str" cm="1">
        <f t="array" ref="J30">IF(OR($A30="",COLUMNS($D30:J30)&gt;Beheer!$C$4),"",N(INDEX(Dashboard!$C$2:$AF$61,MATCH(LARGE(Dashboard!$AI$2:$AI$61,$A30),Dashboard!$AI$2:$AI$61,0),COLUMNS($D30:J30)))&amp;"/"&amp;INDEX(Beheer!$B$7:$B$36,COLUMNS($D30:J30)))</f>
        <v/>
      </c>
      <c r="K30" s="95" t="str" cm="1">
        <f t="array" ref="K30">IF(OR($A30="",COLUMNS($D30:K30)&gt;Beheer!$C$4),"",N(INDEX(Dashboard!$C$2:$AF$61,MATCH(LARGE(Dashboard!$AI$2:$AI$61,$A30),Dashboard!$AI$2:$AI$61,0),COLUMNS($D30:K30)))&amp;"/"&amp;INDEX(Beheer!$B$7:$B$36,COLUMNS($D30:K30)))</f>
        <v/>
      </c>
      <c r="L30" s="95" t="str" cm="1">
        <f t="array" ref="L30">IF(OR($A30="",COLUMNS($D30:L30)&gt;Beheer!$C$4),"",N(INDEX(Dashboard!$C$2:$AF$61,MATCH(LARGE(Dashboard!$AI$2:$AI$61,$A30),Dashboard!$AI$2:$AI$61,0),COLUMNS($D30:L30)))&amp;"/"&amp;INDEX(Beheer!$B$7:$B$36,COLUMNS($D30:L30)))</f>
        <v/>
      </c>
      <c r="M30" s="95" t="str" cm="1">
        <f t="array" ref="M30">IF(OR($A30="",COLUMNS($D30:M30)&gt;Beheer!$C$4),"",N(INDEX(Dashboard!$C$2:$AF$61,MATCH(LARGE(Dashboard!$AI$2:$AI$61,$A30),Dashboard!$AI$2:$AI$61,0),COLUMNS($D30:M30)))&amp;"/"&amp;INDEX(Beheer!$B$7:$B$36,COLUMNS($D30:M30)))</f>
        <v/>
      </c>
      <c r="N30" s="95" t="str" cm="1">
        <f t="array" ref="N30">IF(OR($A30="",COLUMNS($D30:N30)&gt;Beheer!$C$4),"",N(INDEX(Dashboard!$C$2:$AF$61,MATCH(LARGE(Dashboard!$AI$2:$AI$61,$A30),Dashboard!$AI$2:$AI$61,0),COLUMNS($D30:N30)))&amp;"/"&amp;INDEX(Beheer!$B$7:$B$36,COLUMNS($D30:N30)))</f>
        <v/>
      </c>
      <c r="O30" s="95" t="str" cm="1">
        <f t="array" ref="O30">IF(OR($A30="",COLUMNS($D30:O30)&gt;Beheer!$C$4),"",N(INDEX(Dashboard!$C$2:$AF$61,MATCH(LARGE(Dashboard!$AI$2:$AI$61,$A30),Dashboard!$AI$2:$AI$61,0),COLUMNS($D30:O30)))&amp;"/"&amp;INDEX(Beheer!$B$7:$B$36,COLUMNS($D30:O30)))</f>
        <v/>
      </c>
      <c r="P30" s="95" t="str" cm="1">
        <f t="array" ref="P30">IF(OR($A30="",COLUMNS($D30:P30)&gt;Beheer!$C$4),"",N(INDEX(Dashboard!$C$2:$AF$61,MATCH(LARGE(Dashboard!$AI$2:$AI$61,$A30),Dashboard!$AI$2:$AI$61,0),COLUMNS($D30:P30)))&amp;"/"&amp;INDEX(Beheer!$B$7:$B$36,COLUMNS($D30:P30)))</f>
        <v/>
      </c>
      <c r="Q30" s="95" t="str" cm="1">
        <f t="array" ref="Q30">IF(OR($A30="",COLUMNS($D30:Q30)&gt;Beheer!$C$4),"",N(INDEX(Dashboard!$C$2:$AF$61,MATCH(LARGE(Dashboard!$AI$2:$AI$61,$A30),Dashboard!$AI$2:$AI$61,0),COLUMNS($D30:Q30)))&amp;"/"&amp;INDEX(Beheer!$B$7:$B$36,COLUMNS($D30:Q30)))</f>
        <v/>
      </c>
      <c r="R30" s="95" t="str" cm="1">
        <f t="array" ref="R30">IF(OR($A30="",COLUMNS($D30:R30)&gt;Beheer!$C$4),"",N(INDEX(Dashboard!$C$2:$AF$61,MATCH(LARGE(Dashboard!$AI$2:$AI$61,$A30),Dashboard!$AI$2:$AI$61,0),COLUMNS($D30:R30)))&amp;"/"&amp;INDEX(Beheer!$B$7:$B$36,COLUMNS($D30:R30)))</f>
        <v/>
      </c>
      <c r="S30" s="95" t="str" cm="1">
        <f t="array" ref="S30">IF(OR($A30="",COLUMNS($D30:S30)&gt;Beheer!$C$4),"",N(INDEX(Dashboard!$C$2:$AF$61,MATCH(LARGE(Dashboard!$AI$2:$AI$61,$A30),Dashboard!$AI$2:$AI$61,0),COLUMNS($D30:S30)))&amp;"/"&amp;INDEX(Beheer!$B$7:$B$36,COLUMNS($D30:S30)))</f>
        <v/>
      </c>
      <c r="T30" s="95" t="str" cm="1">
        <f t="array" ref="T30">IF(OR($A30="",COLUMNS($D30:T30)&gt;Beheer!$C$4),"",N(INDEX(Dashboard!$C$2:$AF$61,MATCH(LARGE(Dashboard!$AI$2:$AI$61,$A30),Dashboard!$AI$2:$AI$61,0),COLUMNS($D30:T30)))&amp;"/"&amp;INDEX(Beheer!$B$7:$B$36,COLUMNS($D30:T30)))</f>
        <v/>
      </c>
      <c r="U30" s="95" t="str" cm="1">
        <f t="array" ref="U30">IF(OR($A30="",COLUMNS($D30:U30)&gt;Beheer!$C$4),"",N(INDEX(Dashboard!$C$2:$AF$61,MATCH(LARGE(Dashboard!$AI$2:$AI$61,$A30),Dashboard!$AI$2:$AI$61,0),COLUMNS($D30:U30)))&amp;"/"&amp;INDEX(Beheer!$B$7:$B$36,COLUMNS($D30:U30)))</f>
        <v/>
      </c>
      <c r="V30" s="95" t="str" cm="1">
        <f t="array" ref="V30">IF(OR($A30="",COLUMNS($D30:V30)&gt;Beheer!$C$4),"",N(INDEX(Dashboard!$C$2:$AF$61,MATCH(LARGE(Dashboard!$AI$2:$AI$61,$A30),Dashboard!$AI$2:$AI$61,0),COLUMNS($D30:V30)))&amp;"/"&amp;INDEX(Beheer!$B$7:$B$36,COLUMNS($D30:V30)))</f>
        <v/>
      </c>
      <c r="W30" s="95" t="str" cm="1">
        <f t="array" ref="W30">IF(OR($A30="",COLUMNS($D30:W30)&gt;Beheer!$C$4),"",N(INDEX(Dashboard!$C$2:$AF$61,MATCH(LARGE(Dashboard!$AI$2:$AI$61,$A30),Dashboard!$AI$2:$AI$61,0),COLUMNS($D30:W30)))&amp;"/"&amp;INDEX(Beheer!$B$7:$B$36,COLUMNS($D30:W30)))</f>
        <v/>
      </c>
      <c r="X30" s="95" t="str" cm="1">
        <f t="array" ref="X30">IF(OR($A30="",COLUMNS($D30:X30)&gt;Beheer!$C$4),"",N(INDEX(Dashboard!$C$2:$AF$61,MATCH(LARGE(Dashboard!$AI$2:$AI$61,$A30),Dashboard!$AI$2:$AI$61,0),COLUMNS($D30:X30)))&amp;"/"&amp;INDEX(Beheer!$B$7:$B$36,COLUMNS($D30:X30)))</f>
        <v/>
      </c>
      <c r="Y30" s="95" t="str" cm="1">
        <f t="array" ref="Y30">IF(OR($A30="",COLUMNS($D30:Y30)&gt;Beheer!$C$4),"",N(INDEX(Dashboard!$C$2:$AF$61,MATCH(LARGE(Dashboard!$AI$2:$AI$61,$A30),Dashboard!$AI$2:$AI$61,0),COLUMNS($D30:Y30)))&amp;"/"&amp;INDEX(Beheer!$B$7:$B$36,COLUMNS($D30:Y30)))</f>
        <v/>
      </c>
      <c r="Z30" s="95" t="str" cm="1">
        <f t="array" ref="Z30">IF(OR($A30="",COLUMNS($D30:Z30)&gt;Beheer!$C$4),"",N(INDEX(Dashboard!$C$2:$AF$61,MATCH(LARGE(Dashboard!$AI$2:$AI$61,$A30),Dashboard!$AI$2:$AI$61,0),COLUMNS($D30:Z30)))&amp;"/"&amp;INDEX(Beheer!$B$7:$B$36,COLUMNS($D30:Z30)))</f>
        <v/>
      </c>
      <c r="AA30" s="95" t="str" cm="1">
        <f t="array" ref="AA30">IF(OR($A30="",COLUMNS($D30:AA30)&gt;Beheer!$C$4),"",N(INDEX(Dashboard!$C$2:$AF$61,MATCH(LARGE(Dashboard!$AI$2:$AI$61,$A30),Dashboard!$AI$2:$AI$61,0),COLUMNS($D30:AA30)))&amp;"/"&amp;INDEX(Beheer!$B$7:$B$36,COLUMNS($D30:AA30)))</f>
        <v/>
      </c>
      <c r="AB30" s="95" t="str" cm="1">
        <f t="array" ref="AB30">IF(OR($A30="",COLUMNS($D30:AB30)&gt;Beheer!$C$4),"",N(INDEX(Dashboard!$C$2:$AF$61,MATCH(LARGE(Dashboard!$AI$2:$AI$61,$A30),Dashboard!$AI$2:$AI$61,0),COLUMNS($D30:AB30)))&amp;"/"&amp;INDEX(Beheer!$B$7:$B$36,COLUMNS($D30:AB30)))</f>
        <v/>
      </c>
      <c r="AC30" s="95" t="str" cm="1">
        <f t="array" ref="AC30">IF(OR($A30="",COLUMNS($D30:AC30)&gt;Beheer!$C$4),"",N(INDEX(Dashboard!$C$2:$AF$61,MATCH(LARGE(Dashboard!$AI$2:$AI$61,$A30),Dashboard!$AI$2:$AI$61,0),COLUMNS($D30:AC30)))&amp;"/"&amp;INDEX(Beheer!$B$7:$B$36,COLUMNS($D30:AC30)))</f>
        <v/>
      </c>
      <c r="AD30" s="95" t="str" cm="1">
        <f t="array" ref="AD30">IF(OR($A30="",COLUMNS($D30:AD30)&gt;Beheer!$C$4),"",N(INDEX(Dashboard!$C$2:$AF$61,MATCH(LARGE(Dashboard!$AI$2:$AI$61,$A30),Dashboard!$AI$2:$AI$61,0),COLUMNS($D30:AD30)))&amp;"/"&amp;INDEX(Beheer!$B$7:$B$36,COLUMNS($D30:AD30)))</f>
        <v/>
      </c>
      <c r="AE30" s="95" t="str" cm="1">
        <f t="array" ref="AE30">IF(OR($A30="",COLUMNS($D30:AE30)&gt;Beheer!$C$4),"",N(INDEX(Dashboard!$C$2:$AF$61,MATCH(LARGE(Dashboard!$AI$2:$AI$61,$A30),Dashboard!$AI$2:$AI$61,0),COLUMNS($D30:AE30)))&amp;"/"&amp;INDEX(Beheer!$B$7:$B$36,COLUMNS($D30:AE30)))</f>
        <v/>
      </c>
      <c r="AF30" s="95" t="str" cm="1">
        <f t="array" ref="AF30">IF(OR($A30="",COLUMNS($D30:AF30)&gt;Beheer!$C$4),"",N(INDEX(Dashboard!$C$2:$AF$61,MATCH(LARGE(Dashboard!$AI$2:$AI$61,$A30),Dashboard!$AI$2:$AI$61,0),COLUMNS($D30:AF30)))&amp;"/"&amp;INDEX(Beheer!$B$7:$B$36,COLUMNS($D30:AF30)))</f>
        <v/>
      </c>
      <c r="AG30" s="95" t="str" cm="1">
        <f t="array" ref="AG30">IF(OR($A30="",COLUMNS($D30:AG30)&gt;Beheer!$C$4),"",N(INDEX(Dashboard!$C$2:$AF$61,MATCH(LARGE(Dashboard!$AI$2:$AI$61,$A30),Dashboard!$AI$2:$AI$61,0),COLUMNS($D30:AG30)))&amp;"/"&amp;INDEX(Beheer!$B$7:$B$36,COLUMNS($D30:AG30)))</f>
        <v/>
      </c>
    </row>
    <row r="31" spans="1:33" ht="24" customHeight="1" thickBot="1" x14ac:dyDescent="0.5">
      <c r="A31" s="98" t="str">
        <f>IF(ROWS($A$2:A31)&gt;COUNTA(Beheer!$F$7:$F$66),"",ROWS($A$2:A31))</f>
        <v/>
      </c>
      <c r="B31" s="101" t="str">
        <f>IF($A31="","",INDEX(Dashboard!$A$2:$A$61,MATCH(LARGE(Dashboard!$AI$2:$AI$61,$A31),Dashboard!$AI$2:$AI$61,0)))</f>
        <v/>
      </c>
      <c r="C31" s="96" t="str">
        <f>IF($A31="","",INDEX(Dashboard!$AG$2:$AG$61,MATCH(LARGE(Dashboard!$AI$2:$AI$61,$A31),Dashboard!$AI$2:$AI$61,0))&amp;" / "&amp;INDEX(Dashboard!$AH$2:$AH$61,MATCH(LARGE(Dashboard!$AI$2:$AI$61,$A31),Dashboard!$AI$2:$AI$61,0)))</f>
        <v/>
      </c>
      <c r="D31" s="97" t="str" cm="1">
        <f t="array" ref="D31">IF(OR($A31="",COLUMNS($D31:D31)&gt;Beheer!$C$4),"",N(INDEX(Dashboard!$C$2:$AF$61,MATCH(LARGE(Dashboard!$AI$2:$AI$61,$A31),Dashboard!$AI$2:$AI$61,0),COLUMNS($D31:D31)))&amp;"/"&amp;INDEX(Beheer!$B$7:$B$36,COLUMNS($D31:D31)))</f>
        <v/>
      </c>
      <c r="E31" s="97" t="str" cm="1">
        <f t="array" ref="E31">IF(OR($A31="",COLUMNS($D31:E31)&gt;Beheer!$C$4),"",N(INDEX(Dashboard!$C$2:$AF$61,MATCH(LARGE(Dashboard!$AI$2:$AI$61,$A31),Dashboard!$AI$2:$AI$61,0),COLUMNS($D31:E31)))&amp;"/"&amp;INDEX(Beheer!$B$7:$B$36,COLUMNS($D31:E31)))</f>
        <v/>
      </c>
      <c r="F31" s="97" t="str" cm="1">
        <f t="array" ref="F31">IF(OR($A31="",COLUMNS($D31:F31)&gt;Beheer!$C$4),"",N(INDEX(Dashboard!$C$2:$AF$61,MATCH(LARGE(Dashboard!$AI$2:$AI$61,$A31),Dashboard!$AI$2:$AI$61,0),COLUMNS($D31:F31)))&amp;"/"&amp;INDEX(Beheer!$B$7:$B$36,COLUMNS($D31:F31)))</f>
        <v/>
      </c>
      <c r="G31" s="97" t="str" cm="1">
        <f t="array" ref="G31">IF(OR($A31="",COLUMNS($D31:G31)&gt;Beheer!$C$4),"",N(INDEX(Dashboard!$C$2:$AF$61,MATCH(LARGE(Dashboard!$AI$2:$AI$61,$A31),Dashboard!$AI$2:$AI$61,0),COLUMNS($D31:G31)))&amp;"/"&amp;INDEX(Beheer!$B$7:$B$36,COLUMNS($D31:G31)))</f>
        <v/>
      </c>
      <c r="H31" s="97" t="str" cm="1">
        <f t="array" ref="H31">IF(OR($A31="",COLUMNS($D31:H31)&gt;Beheer!$C$4),"",N(INDEX(Dashboard!$C$2:$AF$61,MATCH(LARGE(Dashboard!$AI$2:$AI$61,$A31),Dashboard!$AI$2:$AI$61,0),COLUMNS($D31:H31)))&amp;"/"&amp;INDEX(Beheer!$B$7:$B$36,COLUMNS($D31:H31)))</f>
        <v/>
      </c>
      <c r="I31" s="97" t="str" cm="1">
        <f t="array" ref="I31">IF(OR($A31="",COLUMNS($D31:I31)&gt;Beheer!$C$4),"",N(INDEX(Dashboard!$C$2:$AF$61,MATCH(LARGE(Dashboard!$AI$2:$AI$61,$A31),Dashboard!$AI$2:$AI$61,0),COLUMNS($D31:I31)))&amp;"/"&amp;INDEX(Beheer!$B$7:$B$36,COLUMNS($D31:I31)))</f>
        <v/>
      </c>
      <c r="J31" s="97" t="str" cm="1">
        <f t="array" ref="J31">IF(OR($A31="",COLUMNS($D31:J31)&gt;Beheer!$C$4),"",N(INDEX(Dashboard!$C$2:$AF$61,MATCH(LARGE(Dashboard!$AI$2:$AI$61,$A31),Dashboard!$AI$2:$AI$61,0),COLUMNS($D31:J31)))&amp;"/"&amp;INDEX(Beheer!$B$7:$B$36,COLUMNS($D31:J31)))</f>
        <v/>
      </c>
      <c r="K31" s="97" t="str" cm="1">
        <f t="array" ref="K31">IF(OR($A31="",COLUMNS($D31:K31)&gt;Beheer!$C$4),"",N(INDEX(Dashboard!$C$2:$AF$61,MATCH(LARGE(Dashboard!$AI$2:$AI$61,$A31),Dashboard!$AI$2:$AI$61,0),COLUMNS($D31:K31)))&amp;"/"&amp;INDEX(Beheer!$B$7:$B$36,COLUMNS($D31:K31)))</f>
        <v/>
      </c>
      <c r="L31" s="97" t="str" cm="1">
        <f t="array" ref="L31">IF(OR($A31="",COLUMNS($D31:L31)&gt;Beheer!$C$4),"",N(INDEX(Dashboard!$C$2:$AF$61,MATCH(LARGE(Dashboard!$AI$2:$AI$61,$A31),Dashboard!$AI$2:$AI$61,0),COLUMNS($D31:L31)))&amp;"/"&amp;INDEX(Beheer!$B$7:$B$36,COLUMNS($D31:L31)))</f>
        <v/>
      </c>
      <c r="M31" s="97" t="str" cm="1">
        <f t="array" ref="M31">IF(OR($A31="",COLUMNS($D31:M31)&gt;Beheer!$C$4),"",N(INDEX(Dashboard!$C$2:$AF$61,MATCH(LARGE(Dashboard!$AI$2:$AI$61,$A31),Dashboard!$AI$2:$AI$61,0),COLUMNS($D31:M31)))&amp;"/"&amp;INDEX(Beheer!$B$7:$B$36,COLUMNS($D31:M31)))</f>
        <v/>
      </c>
      <c r="N31" s="97" t="str" cm="1">
        <f t="array" ref="N31">IF(OR($A31="",COLUMNS($D31:N31)&gt;Beheer!$C$4),"",N(INDEX(Dashboard!$C$2:$AF$61,MATCH(LARGE(Dashboard!$AI$2:$AI$61,$A31),Dashboard!$AI$2:$AI$61,0),COLUMNS($D31:N31)))&amp;"/"&amp;INDEX(Beheer!$B$7:$B$36,COLUMNS($D31:N31)))</f>
        <v/>
      </c>
      <c r="O31" s="97" t="str" cm="1">
        <f t="array" ref="O31">IF(OR($A31="",COLUMNS($D31:O31)&gt;Beheer!$C$4),"",N(INDEX(Dashboard!$C$2:$AF$61,MATCH(LARGE(Dashboard!$AI$2:$AI$61,$A31),Dashboard!$AI$2:$AI$61,0),COLUMNS($D31:O31)))&amp;"/"&amp;INDEX(Beheer!$B$7:$B$36,COLUMNS($D31:O31)))</f>
        <v/>
      </c>
      <c r="P31" s="97" t="str" cm="1">
        <f t="array" ref="P31">IF(OR($A31="",COLUMNS($D31:P31)&gt;Beheer!$C$4),"",N(INDEX(Dashboard!$C$2:$AF$61,MATCH(LARGE(Dashboard!$AI$2:$AI$61,$A31),Dashboard!$AI$2:$AI$61,0),COLUMNS($D31:P31)))&amp;"/"&amp;INDEX(Beheer!$B$7:$B$36,COLUMNS($D31:P31)))</f>
        <v/>
      </c>
      <c r="Q31" s="97" t="str" cm="1">
        <f t="array" ref="Q31">IF(OR($A31="",COLUMNS($D31:Q31)&gt;Beheer!$C$4),"",N(INDEX(Dashboard!$C$2:$AF$61,MATCH(LARGE(Dashboard!$AI$2:$AI$61,$A31),Dashboard!$AI$2:$AI$61,0),COLUMNS($D31:Q31)))&amp;"/"&amp;INDEX(Beheer!$B$7:$B$36,COLUMNS($D31:Q31)))</f>
        <v/>
      </c>
      <c r="R31" s="97" t="str" cm="1">
        <f t="array" ref="R31">IF(OR($A31="",COLUMNS($D31:R31)&gt;Beheer!$C$4),"",N(INDEX(Dashboard!$C$2:$AF$61,MATCH(LARGE(Dashboard!$AI$2:$AI$61,$A31),Dashboard!$AI$2:$AI$61,0),COLUMNS($D31:R31)))&amp;"/"&amp;INDEX(Beheer!$B$7:$B$36,COLUMNS($D31:R31)))</f>
        <v/>
      </c>
      <c r="S31" s="97" t="str" cm="1">
        <f t="array" ref="S31">IF(OR($A31="",COLUMNS($D31:S31)&gt;Beheer!$C$4),"",N(INDEX(Dashboard!$C$2:$AF$61,MATCH(LARGE(Dashboard!$AI$2:$AI$61,$A31),Dashboard!$AI$2:$AI$61,0),COLUMNS($D31:S31)))&amp;"/"&amp;INDEX(Beheer!$B$7:$B$36,COLUMNS($D31:S31)))</f>
        <v/>
      </c>
      <c r="T31" s="97" t="str" cm="1">
        <f t="array" ref="T31">IF(OR($A31="",COLUMNS($D31:T31)&gt;Beheer!$C$4),"",N(INDEX(Dashboard!$C$2:$AF$61,MATCH(LARGE(Dashboard!$AI$2:$AI$61,$A31),Dashboard!$AI$2:$AI$61,0),COLUMNS($D31:T31)))&amp;"/"&amp;INDEX(Beheer!$B$7:$B$36,COLUMNS($D31:T31)))</f>
        <v/>
      </c>
      <c r="U31" s="97" t="str" cm="1">
        <f t="array" ref="U31">IF(OR($A31="",COLUMNS($D31:U31)&gt;Beheer!$C$4),"",N(INDEX(Dashboard!$C$2:$AF$61,MATCH(LARGE(Dashboard!$AI$2:$AI$61,$A31),Dashboard!$AI$2:$AI$61,0),COLUMNS($D31:U31)))&amp;"/"&amp;INDEX(Beheer!$B$7:$B$36,COLUMNS($D31:U31)))</f>
        <v/>
      </c>
      <c r="V31" s="97" t="str" cm="1">
        <f t="array" ref="V31">IF(OR($A31="",COLUMNS($D31:V31)&gt;Beheer!$C$4),"",N(INDEX(Dashboard!$C$2:$AF$61,MATCH(LARGE(Dashboard!$AI$2:$AI$61,$A31),Dashboard!$AI$2:$AI$61,0),COLUMNS($D31:V31)))&amp;"/"&amp;INDEX(Beheer!$B$7:$B$36,COLUMNS($D31:V31)))</f>
        <v/>
      </c>
      <c r="W31" s="97" t="str" cm="1">
        <f t="array" ref="W31">IF(OR($A31="",COLUMNS($D31:W31)&gt;Beheer!$C$4),"",N(INDEX(Dashboard!$C$2:$AF$61,MATCH(LARGE(Dashboard!$AI$2:$AI$61,$A31),Dashboard!$AI$2:$AI$61,0),COLUMNS($D31:W31)))&amp;"/"&amp;INDEX(Beheer!$B$7:$B$36,COLUMNS($D31:W31)))</f>
        <v/>
      </c>
      <c r="X31" s="97" t="str" cm="1">
        <f t="array" ref="X31">IF(OR($A31="",COLUMNS($D31:X31)&gt;Beheer!$C$4),"",N(INDEX(Dashboard!$C$2:$AF$61,MATCH(LARGE(Dashboard!$AI$2:$AI$61,$A31),Dashboard!$AI$2:$AI$61,0),COLUMNS($D31:X31)))&amp;"/"&amp;INDEX(Beheer!$B$7:$B$36,COLUMNS($D31:X31)))</f>
        <v/>
      </c>
      <c r="Y31" s="97" t="str" cm="1">
        <f t="array" ref="Y31">IF(OR($A31="",COLUMNS($D31:Y31)&gt;Beheer!$C$4),"",N(INDEX(Dashboard!$C$2:$AF$61,MATCH(LARGE(Dashboard!$AI$2:$AI$61,$A31),Dashboard!$AI$2:$AI$61,0),COLUMNS($D31:Y31)))&amp;"/"&amp;INDEX(Beheer!$B$7:$B$36,COLUMNS($D31:Y31)))</f>
        <v/>
      </c>
      <c r="Z31" s="97" t="str" cm="1">
        <f t="array" ref="Z31">IF(OR($A31="",COLUMNS($D31:Z31)&gt;Beheer!$C$4),"",N(INDEX(Dashboard!$C$2:$AF$61,MATCH(LARGE(Dashboard!$AI$2:$AI$61,$A31),Dashboard!$AI$2:$AI$61,0),COLUMNS($D31:Z31)))&amp;"/"&amp;INDEX(Beheer!$B$7:$B$36,COLUMNS($D31:Z31)))</f>
        <v/>
      </c>
      <c r="AA31" s="97" t="str" cm="1">
        <f t="array" ref="AA31">IF(OR($A31="",COLUMNS($D31:AA31)&gt;Beheer!$C$4),"",N(INDEX(Dashboard!$C$2:$AF$61,MATCH(LARGE(Dashboard!$AI$2:$AI$61,$A31),Dashboard!$AI$2:$AI$61,0),COLUMNS($D31:AA31)))&amp;"/"&amp;INDEX(Beheer!$B$7:$B$36,COLUMNS($D31:AA31)))</f>
        <v/>
      </c>
      <c r="AB31" s="97" t="str" cm="1">
        <f t="array" ref="AB31">IF(OR($A31="",COLUMNS($D31:AB31)&gt;Beheer!$C$4),"",N(INDEX(Dashboard!$C$2:$AF$61,MATCH(LARGE(Dashboard!$AI$2:$AI$61,$A31),Dashboard!$AI$2:$AI$61,0),COLUMNS($D31:AB31)))&amp;"/"&amp;INDEX(Beheer!$B$7:$B$36,COLUMNS($D31:AB31)))</f>
        <v/>
      </c>
      <c r="AC31" s="97" t="str" cm="1">
        <f t="array" ref="AC31">IF(OR($A31="",COLUMNS($D31:AC31)&gt;Beheer!$C$4),"",N(INDEX(Dashboard!$C$2:$AF$61,MATCH(LARGE(Dashboard!$AI$2:$AI$61,$A31),Dashboard!$AI$2:$AI$61,0),COLUMNS($D31:AC31)))&amp;"/"&amp;INDEX(Beheer!$B$7:$B$36,COLUMNS($D31:AC31)))</f>
        <v/>
      </c>
      <c r="AD31" s="97" t="str" cm="1">
        <f t="array" ref="AD31">IF(OR($A31="",COLUMNS($D31:AD31)&gt;Beheer!$C$4),"",N(INDEX(Dashboard!$C$2:$AF$61,MATCH(LARGE(Dashboard!$AI$2:$AI$61,$A31),Dashboard!$AI$2:$AI$61,0),COLUMNS($D31:AD31)))&amp;"/"&amp;INDEX(Beheer!$B$7:$B$36,COLUMNS($D31:AD31)))</f>
        <v/>
      </c>
      <c r="AE31" s="97" t="str" cm="1">
        <f t="array" ref="AE31">IF(OR($A31="",COLUMNS($D31:AE31)&gt;Beheer!$C$4),"",N(INDEX(Dashboard!$C$2:$AF$61,MATCH(LARGE(Dashboard!$AI$2:$AI$61,$A31),Dashboard!$AI$2:$AI$61,0),COLUMNS($D31:AE31)))&amp;"/"&amp;INDEX(Beheer!$B$7:$B$36,COLUMNS($D31:AE31)))</f>
        <v/>
      </c>
      <c r="AF31" s="97" t="str" cm="1">
        <f t="array" ref="AF31">IF(OR($A31="",COLUMNS($D31:AF31)&gt;Beheer!$C$4),"",N(INDEX(Dashboard!$C$2:$AF$61,MATCH(LARGE(Dashboard!$AI$2:$AI$61,$A31),Dashboard!$AI$2:$AI$61,0),COLUMNS($D31:AF31)))&amp;"/"&amp;INDEX(Beheer!$B$7:$B$36,COLUMNS($D31:AF31)))</f>
        <v/>
      </c>
      <c r="AG31" s="97" t="str" cm="1">
        <f t="array" ref="AG31">IF(OR($A31="",COLUMNS($D31:AG31)&gt;Beheer!$C$4),"",N(INDEX(Dashboard!$C$2:$AF$61,MATCH(LARGE(Dashboard!$AI$2:$AI$61,$A31),Dashboard!$AI$2:$AI$61,0),COLUMNS($D31:AG31)))&amp;"/"&amp;INDEX(Beheer!$B$7:$B$36,COLUMNS($D31:AG31)))</f>
        <v/>
      </c>
    </row>
    <row r="32" spans="1:33" ht="24" customHeight="1" thickBot="1" x14ac:dyDescent="0.5">
      <c r="A32" s="99" t="str">
        <f>IF(ROWS($A$2:A32)&gt;COUNTA(Beheer!$F$7:$F$66),"",ROWS($A$2:A32))</f>
        <v/>
      </c>
      <c r="B32" s="102" t="str">
        <f>IF($A32="","",INDEX(Dashboard!$A$2:$A$61,MATCH(LARGE(Dashboard!$AI$2:$AI$61,$A32),Dashboard!$AI$2:$AI$61,0)))</f>
        <v/>
      </c>
      <c r="C32" s="94" t="str">
        <f>IF($A32="","",INDEX(Dashboard!$AG$2:$AG$61,MATCH(LARGE(Dashboard!$AI$2:$AI$61,$A32),Dashboard!$AI$2:$AI$61,0))&amp;" / "&amp;INDEX(Dashboard!$AH$2:$AH$61,MATCH(LARGE(Dashboard!$AI$2:$AI$61,$A32),Dashboard!$AI$2:$AI$61,0)))</f>
        <v/>
      </c>
      <c r="D32" s="95" t="str" cm="1">
        <f t="array" ref="D32">IF(OR($A32="",COLUMNS($D32:D32)&gt;Beheer!$C$4),"",N(INDEX(Dashboard!$C$2:$AF$61,MATCH(LARGE(Dashboard!$AI$2:$AI$61,$A32),Dashboard!$AI$2:$AI$61,0),COLUMNS($D32:D32)))&amp;"/"&amp;INDEX(Beheer!$B$7:$B$36,COLUMNS($D32:D32)))</f>
        <v/>
      </c>
      <c r="E32" s="95" t="str" cm="1">
        <f t="array" ref="E32">IF(OR($A32="",COLUMNS($D32:E32)&gt;Beheer!$C$4),"",N(INDEX(Dashboard!$C$2:$AF$61,MATCH(LARGE(Dashboard!$AI$2:$AI$61,$A32),Dashboard!$AI$2:$AI$61,0),COLUMNS($D32:E32)))&amp;"/"&amp;INDEX(Beheer!$B$7:$B$36,COLUMNS($D32:E32)))</f>
        <v/>
      </c>
      <c r="F32" s="95" t="str" cm="1">
        <f t="array" ref="F32">IF(OR($A32="",COLUMNS($D32:F32)&gt;Beheer!$C$4),"",N(INDEX(Dashboard!$C$2:$AF$61,MATCH(LARGE(Dashboard!$AI$2:$AI$61,$A32),Dashboard!$AI$2:$AI$61,0),COLUMNS($D32:F32)))&amp;"/"&amp;INDEX(Beheer!$B$7:$B$36,COLUMNS($D32:F32)))</f>
        <v/>
      </c>
      <c r="G32" s="95" t="str" cm="1">
        <f t="array" ref="G32">IF(OR($A32="",COLUMNS($D32:G32)&gt;Beheer!$C$4),"",N(INDEX(Dashboard!$C$2:$AF$61,MATCH(LARGE(Dashboard!$AI$2:$AI$61,$A32),Dashboard!$AI$2:$AI$61,0),COLUMNS($D32:G32)))&amp;"/"&amp;INDEX(Beheer!$B$7:$B$36,COLUMNS($D32:G32)))</f>
        <v/>
      </c>
      <c r="H32" s="95" t="str" cm="1">
        <f t="array" ref="H32">IF(OR($A32="",COLUMNS($D32:H32)&gt;Beheer!$C$4),"",N(INDEX(Dashboard!$C$2:$AF$61,MATCH(LARGE(Dashboard!$AI$2:$AI$61,$A32),Dashboard!$AI$2:$AI$61,0),COLUMNS($D32:H32)))&amp;"/"&amp;INDEX(Beheer!$B$7:$B$36,COLUMNS($D32:H32)))</f>
        <v/>
      </c>
      <c r="I32" s="95" t="str" cm="1">
        <f t="array" ref="I32">IF(OR($A32="",COLUMNS($D32:I32)&gt;Beheer!$C$4),"",N(INDEX(Dashboard!$C$2:$AF$61,MATCH(LARGE(Dashboard!$AI$2:$AI$61,$A32),Dashboard!$AI$2:$AI$61,0),COLUMNS($D32:I32)))&amp;"/"&amp;INDEX(Beheer!$B$7:$B$36,COLUMNS($D32:I32)))</f>
        <v/>
      </c>
      <c r="J32" s="95" t="str" cm="1">
        <f t="array" ref="J32">IF(OR($A32="",COLUMNS($D32:J32)&gt;Beheer!$C$4),"",N(INDEX(Dashboard!$C$2:$AF$61,MATCH(LARGE(Dashboard!$AI$2:$AI$61,$A32),Dashboard!$AI$2:$AI$61,0),COLUMNS($D32:J32)))&amp;"/"&amp;INDEX(Beheer!$B$7:$B$36,COLUMNS($D32:J32)))</f>
        <v/>
      </c>
      <c r="K32" s="95" t="str" cm="1">
        <f t="array" ref="K32">IF(OR($A32="",COLUMNS($D32:K32)&gt;Beheer!$C$4),"",N(INDEX(Dashboard!$C$2:$AF$61,MATCH(LARGE(Dashboard!$AI$2:$AI$61,$A32),Dashboard!$AI$2:$AI$61,0),COLUMNS($D32:K32)))&amp;"/"&amp;INDEX(Beheer!$B$7:$B$36,COLUMNS($D32:K32)))</f>
        <v/>
      </c>
      <c r="L32" s="95" t="str" cm="1">
        <f t="array" ref="L32">IF(OR($A32="",COLUMNS($D32:L32)&gt;Beheer!$C$4),"",N(INDEX(Dashboard!$C$2:$AF$61,MATCH(LARGE(Dashboard!$AI$2:$AI$61,$A32),Dashboard!$AI$2:$AI$61,0),COLUMNS($D32:L32)))&amp;"/"&amp;INDEX(Beheer!$B$7:$B$36,COLUMNS($D32:L32)))</f>
        <v/>
      </c>
      <c r="M32" s="95" t="str" cm="1">
        <f t="array" ref="M32">IF(OR($A32="",COLUMNS($D32:M32)&gt;Beheer!$C$4),"",N(INDEX(Dashboard!$C$2:$AF$61,MATCH(LARGE(Dashboard!$AI$2:$AI$61,$A32),Dashboard!$AI$2:$AI$61,0),COLUMNS($D32:M32)))&amp;"/"&amp;INDEX(Beheer!$B$7:$B$36,COLUMNS($D32:M32)))</f>
        <v/>
      </c>
      <c r="N32" s="95" t="str" cm="1">
        <f t="array" ref="N32">IF(OR($A32="",COLUMNS($D32:N32)&gt;Beheer!$C$4),"",N(INDEX(Dashboard!$C$2:$AF$61,MATCH(LARGE(Dashboard!$AI$2:$AI$61,$A32),Dashboard!$AI$2:$AI$61,0),COLUMNS($D32:N32)))&amp;"/"&amp;INDEX(Beheer!$B$7:$B$36,COLUMNS($D32:N32)))</f>
        <v/>
      </c>
      <c r="O32" s="95" t="str" cm="1">
        <f t="array" ref="O32">IF(OR($A32="",COLUMNS($D32:O32)&gt;Beheer!$C$4),"",N(INDEX(Dashboard!$C$2:$AF$61,MATCH(LARGE(Dashboard!$AI$2:$AI$61,$A32),Dashboard!$AI$2:$AI$61,0),COLUMNS($D32:O32)))&amp;"/"&amp;INDEX(Beheer!$B$7:$B$36,COLUMNS($D32:O32)))</f>
        <v/>
      </c>
      <c r="P32" s="95" t="str" cm="1">
        <f t="array" ref="P32">IF(OR($A32="",COLUMNS($D32:P32)&gt;Beheer!$C$4),"",N(INDEX(Dashboard!$C$2:$AF$61,MATCH(LARGE(Dashboard!$AI$2:$AI$61,$A32),Dashboard!$AI$2:$AI$61,0),COLUMNS($D32:P32)))&amp;"/"&amp;INDEX(Beheer!$B$7:$B$36,COLUMNS($D32:P32)))</f>
        <v/>
      </c>
      <c r="Q32" s="95" t="str" cm="1">
        <f t="array" ref="Q32">IF(OR($A32="",COLUMNS($D32:Q32)&gt;Beheer!$C$4),"",N(INDEX(Dashboard!$C$2:$AF$61,MATCH(LARGE(Dashboard!$AI$2:$AI$61,$A32),Dashboard!$AI$2:$AI$61,0),COLUMNS($D32:Q32)))&amp;"/"&amp;INDEX(Beheer!$B$7:$B$36,COLUMNS($D32:Q32)))</f>
        <v/>
      </c>
      <c r="R32" s="95" t="str" cm="1">
        <f t="array" ref="R32">IF(OR($A32="",COLUMNS($D32:R32)&gt;Beheer!$C$4),"",N(INDEX(Dashboard!$C$2:$AF$61,MATCH(LARGE(Dashboard!$AI$2:$AI$61,$A32),Dashboard!$AI$2:$AI$61,0),COLUMNS($D32:R32)))&amp;"/"&amp;INDEX(Beheer!$B$7:$B$36,COLUMNS($D32:R32)))</f>
        <v/>
      </c>
      <c r="S32" s="95" t="str" cm="1">
        <f t="array" ref="S32">IF(OR($A32="",COLUMNS($D32:S32)&gt;Beheer!$C$4),"",N(INDEX(Dashboard!$C$2:$AF$61,MATCH(LARGE(Dashboard!$AI$2:$AI$61,$A32),Dashboard!$AI$2:$AI$61,0),COLUMNS($D32:S32)))&amp;"/"&amp;INDEX(Beheer!$B$7:$B$36,COLUMNS($D32:S32)))</f>
        <v/>
      </c>
      <c r="T32" s="95" t="str" cm="1">
        <f t="array" ref="T32">IF(OR($A32="",COLUMNS($D32:T32)&gt;Beheer!$C$4),"",N(INDEX(Dashboard!$C$2:$AF$61,MATCH(LARGE(Dashboard!$AI$2:$AI$61,$A32),Dashboard!$AI$2:$AI$61,0),COLUMNS($D32:T32)))&amp;"/"&amp;INDEX(Beheer!$B$7:$B$36,COLUMNS($D32:T32)))</f>
        <v/>
      </c>
      <c r="U32" s="95" t="str" cm="1">
        <f t="array" ref="U32">IF(OR($A32="",COLUMNS($D32:U32)&gt;Beheer!$C$4),"",N(INDEX(Dashboard!$C$2:$AF$61,MATCH(LARGE(Dashboard!$AI$2:$AI$61,$A32),Dashboard!$AI$2:$AI$61,0),COLUMNS($D32:U32)))&amp;"/"&amp;INDEX(Beheer!$B$7:$B$36,COLUMNS($D32:U32)))</f>
        <v/>
      </c>
      <c r="V32" s="95" t="str" cm="1">
        <f t="array" ref="V32">IF(OR($A32="",COLUMNS($D32:V32)&gt;Beheer!$C$4),"",N(INDEX(Dashboard!$C$2:$AF$61,MATCH(LARGE(Dashboard!$AI$2:$AI$61,$A32),Dashboard!$AI$2:$AI$61,0),COLUMNS($D32:V32)))&amp;"/"&amp;INDEX(Beheer!$B$7:$B$36,COLUMNS($D32:V32)))</f>
        <v/>
      </c>
      <c r="W32" s="95" t="str" cm="1">
        <f t="array" ref="W32">IF(OR($A32="",COLUMNS($D32:W32)&gt;Beheer!$C$4),"",N(INDEX(Dashboard!$C$2:$AF$61,MATCH(LARGE(Dashboard!$AI$2:$AI$61,$A32),Dashboard!$AI$2:$AI$61,0),COLUMNS($D32:W32)))&amp;"/"&amp;INDEX(Beheer!$B$7:$B$36,COLUMNS($D32:W32)))</f>
        <v/>
      </c>
      <c r="X32" s="95" t="str" cm="1">
        <f t="array" ref="X32">IF(OR($A32="",COLUMNS($D32:X32)&gt;Beheer!$C$4),"",N(INDEX(Dashboard!$C$2:$AF$61,MATCH(LARGE(Dashboard!$AI$2:$AI$61,$A32),Dashboard!$AI$2:$AI$61,0),COLUMNS($D32:X32)))&amp;"/"&amp;INDEX(Beheer!$B$7:$B$36,COLUMNS($D32:X32)))</f>
        <v/>
      </c>
      <c r="Y32" s="95" t="str" cm="1">
        <f t="array" ref="Y32">IF(OR($A32="",COLUMNS($D32:Y32)&gt;Beheer!$C$4),"",N(INDEX(Dashboard!$C$2:$AF$61,MATCH(LARGE(Dashboard!$AI$2:$AI$61,$A32),Dashboard!$AI$2:$AI$61,0),COLUMNS($D32:Y32)))&amp;"/"&amp;INDEX(Beheer!$B$7:$B$36,COLUMNS($D32:Y32)))</f>
        <v/>
      </c>
      <c r="Z32" s="95" t="str" cm="1">
        <f t="array" ref="Z32">IF(OR($A32="",COLUMNS($D32:Z32)&gt;Beheer!$C$4),"",N(INDEX(Dashboard!$C$2:$AF$61,MATCH(LARGE(Dashboard!$AI$2:$AI$61,$A32),Dashboard!$AI$2:$AI$61,0),COLUMNS($D32:Z32)))&amp;"/"&amp;INDEX(Beheer!$B$7:$B$36,COLUMNS($D32:Z32)))</f>
        <v/>
      </c>
      <c r="AA32" s="95" t="str" cm="1">
        <f t="array" ref="AA32">IF(OR($A32="",COLUMNS($D32:AA32)&gt;Beheer!$C$4),"",N(INDEX(Dashboard!$C$2:$AF$61,MATCH(LARGE(Dashboard!$AI$2:$AI$61,$A32),Dashboard!$AI$2:$AI$61,0),COLUMNS($D32:AA32)))&amp;"/"&amp;INDEX(Beheer!$B$7:$B$36,COLUMNS($D32:AA32)))</f>
        <v/>
      </c>
      <c r="AB32" s="95" t="str" cm="1">
        <f t="array" ref="AB32">IF(OR($A32="",COLUMNS($D32:AB32)&gt;Beheer!$C$4),"",N(INDEX(Dashboard!$C$2:$AF$61,MATCH(LARGE(Dashboard!$AI$2:$AI$61,$A32),Dashboard!$AI$2:$AI$61,0),COLUMNS($D32:AB32)))&amp;"/"&amp;INDEX(Beheer!$B$7:$B$36,COLUMNS($D32:AB32)))</f>
        <v/>
      </c>
      <c r="AC32" s="95" t="str" cm="1">
        <f t="array" ref="AC32">IF(OR($A32="",COLUMNS($D32:AC32)&gt;Beheer!$C$4),"",N(INDEX(Dashboard!$C$2:$AF$61,MATCH(LARGE(Dashboard!$AI$2:$AI$61,$A32),Dashboard!$AI$2:$AI$61,0),COLUMNS($D32:AC32)))&amp;"/"&amp;INDEX(Beheer!$B$7:$B$36,COLUMNS($D32:AC32)))</f>
        <v/>
      </c>
      <c r="AD32" s="95" t="str" cm="1">
        <f t="array" ref="AD32">IF(OR($A32="",COLUMNS($D32:AD32)&gt;Beheer!$C$4),"",N(INDEX(Dashboard!$C$2:$AF$61,MATCH(LARGE(Dashboard!$AI$2:$AI$61,$A32),Dashboard!$AI$2:$AI$61,0),COLUMNS($D32:AD32)))&amp;"/"&amp;INDEX(Beheer!$B$7:$B$36,COLUMNS($D32:AD32)))</f>
        <v/>
      </c>
      <c r="AE32" s="95" t="str" cm="1">
        <f t="array" ref="AE32">IF(OR($A32="",COLUMNS($D32:AE32)&gt;Beheer!$C$4),"",N(INDEX(Dashboard!$C$2:$AF$61,MATCH(LARGE(Dashboard!$AI$2:$AI$61,$A32),Dashboard!$AI$2:$AI$61,0),COLUMNS($D32:AE32)))&amp;"/"&amp;INDEX(Beheer!$B$7:$B$36,COLUMNS($D32:AE32)))</f>
        <v/>
      </c>
      <c r="AF32" s="95" t="str" cm="1">
        <f t="array" ref="AF32">IF(OR($A32="",COLUMNS($D32:AF32)&gt;Beheer!$C$4),"",N(INDEX(Dashboard!$C$2:$AF$61,MATCH(LARGE(Dashboard!$AI$2:$AI$61,$A32),Dashboard!$AI$2:$AI$61,0),COLUMNS($D32:AF32)))&amp;"/"&amp;INDEX(Beheer!$B$7:$B$36,COLUMNS($D32:AF32)))</f>
        <v/>
      </c>
      <c r="AG32" s="95" t="str" cm="1">
        <f t="array" ref="AG32">IF(OR($A32="",COLUMNS($D32:AG32)&gt;Beheer!$C$4),"",N(INDEX(Dashboard!$C$2:$AF$61,MATCH(LARGE(Dashboard!$AI$2:$AI$61,$A32),Dashboard!$AI$2:$AI$61,0),COLUMNS($D32:AG32)))&amp;"/"&amp;INDEX(Beheer!$B$7:$B$36,COLUMNS($D32:AG32)))</f>
        <v/>
      </c>
    </row>
    <row r="33" spans="1:33" ht="24" customHeight="1" thickBot="1" x14ac:dyDescent="0.5">
      <c r="A33" s="98" t="str">
        <f>IF(ROWS($A$2:A33)&gt;COUNTA(Beheer!$F$7:$F$66),"",ROWS($A$2:A33))</f>
        <v/>
      </c>
      <c r="B33" s="101" t="str">
        <f>IF($A33="","",INDEX(Dashboard!$A$2:$A$61,MATCH(LARGE(Dashboard!$AI$2:$AI$61,$A33),Dashboard!$AI$2:$AI$61,0)))</f>
        <v/>
      </c>
      <c r="C33" s="96" t="str">
        <f>IF($A33="","",INDEX(Dashboard!$AG$2:$AG$61,MATCH(LARGE(Dashboard!$AI$2:$AI$61,$A33),Dashboard!$AI$2:$AI$61,0))&amp;" / "&amp;INDEX(Dashboard!$AH$2:$AH$61,MATCH(LARGE(Dashboard!$AI$2:$AI$61,$A33),Dashboard!$AI$2:$AI$61,0)))</f>
        <v/>
      </c>
      <c r="D33" s="97" t="str" cm="1">
        <f t="array" ref="D33">IF(OR($A33="",COLUMNS($D33:D33)&gt;Beheer!$C$4),"",N(INDEX(Dashboard!$C$2:$AF$61,MATCH(LARGE(Dashboard!$AI$2:$AI$61,$A33),Dashboard!$AI$2:$AI$61,0),COLUMNS($D33:D33)))&amp;"/"&amp;INDEX(Beheer!$B$7:$B$36,COLUMNS($D33:D33)))</f>
        <v/>
      </c>
      <c r="E33" s="97" t="str" cm="1">
        <f t="array" ref="E33">IF(OR($A33="",COLUMNS($D33:E33)&gt;Beheer!$C$4),"",N(INDEX(Dashboard!$C$2:$AF$61,MATCH(LARGE(Dashboard!$AI$2:$AI$61,$A33),Dashboard!$AI$2:$AI$61,0),COLUMNS($D33:E33)))&amp;"/"&amp;INDEX(Beheer!$B$7:$B$36,COLUMNS($D33:E33)))</f>
        <v/>
      </c>
      <c r="F33" s="97" t="str" cm="1">
        <f t="array" ref="F33">IF(OR($A33="",COLUMNS($D33:F33)&gt;Beheer!$C$4),"",N(INDEX(Dashboard!$C$2:$AF$61,MATCH(LARGE(Dashboard!$AI$2:$AI$61,$A33),Dashboard!$AI$2:$AI$61,0),COLUMNS($D33:F33)))&amp;"/"&amp;INDEX(Beheer!$B$7:$B$36,COLUMNS($D33:F33)))</f>
        <v/>
      </c>
      <c r="G33" s="97" t="str" cm="1">
        <f t="array" ref="G33">IF(OR($A33="",COLUMNS($D33:G33)&gt;Beheer!$C$4),"",N(INDEX(Dashboard!$C$2:$AF$61,MATCH(LARGE(Dashboard!$AI$2:$AI$61,$A33),Dashboard!$AI$2:$AI$61,0),COLUMNS($D33:G33)))&amp;"/"&amp;INDEX(Beheer!$B$7:$B$36,COLUMNS($D33:G33)))</f>
        <v/>
      </c>
      <c r="H33" s="97" t="str" cm="1">
        <f t="array" ref="H33">IF(OR($A33="",COLUMNS($D33:H33)&gt;Beheer!$C$4),"",N(INDEX(Dashboard!$C$2:$AF$61,MATCH(LARGE(Dashboard!$AI$2:$AI$61,$A33),Dashboard!$AI$2:$AI$61,0),COLUMNS($D33:H33)))&amp;"/"&amp;INDEX(Beheer!$B$7:$B$36,COLUMNS($D33:H33)))</f>
        <v/>
      </c>
      <c r="I33" s="97" t="str" cm="1">
        <f t="array" ref="I33">IF(OR($A33="",COLUMNS($D33:I33)&gt;Beheer!$C$4),"",N(INDEX(Dashboard!$C$2:$AF$61,MATCH(LARGE(Dashboard!$AI$2:$AI$61,$A33),Dashboard!$AI$2:$AI$61,0),COLUMNS($D33:I33)))&amp;"/"&amp;INDEX(Beheer!$B$7:$B$36,COLUMNS($D33:I33)))</f>
        <v/>
      </c>
      <c r="J33" s="97" t="str" cm="1">
        <f t="array" ref="J33">IF(OR($A33="",COLUMNS($D33:J33)&gt;Beheer!$C$4),"",N(INDEX(Dashboard!$C$2:$AF$61,MATCH(LARGE(Dashboard!$AI$2:$AI$61,$A33),Dashboard!$AI$2:$AI$61,0),COLUMNS($D33:J33)))&amp;"/"&amp;INDEX(Beheer!$B$7:$B$36,COLUMNS($D33:J33)))</f>
        <v/>
      </c>
      <c r="K33" s="97" t="str" cm="1">
        <f t="array" ref="K33">IF(OR($A33="",COLUMNS($D33:K33)&gt;Beheer!$C$4),"",N(INDEX(Dashboard!$C$2:$AF$61,MATCH(LARGE(Dashboard!$AI$2:$AI$61,$A33),Dashboard!$AI$2:$AI$61,0),COLUMNS($D33:K33)))&amp;"/"&amp;INDEX(Beheer!$B$7:$B$36,COLUMNS($D33:K33)))</f>
        <v/>
      </c>
      <c r="L33" s="97" t="str" cm="1">
        <f t="array" ref="L33">IF(OR($A33="",COLUMNS($D33:L33)&gt;Beheer!$C$4),"",N(INDEX(Dashboard!$C$2:$AF$61,MATCH(LARGE(Dashboard!$AI$2:$AI$61,$A33),Dashboard!$AI$2:$AI$61,0),COLUMNS($D33:L33)))&amp;"/"&amp;INDEX(Beheer!$B$7:$B$36,COLUMNS($D33:L33)))</f>
        <v/>
      </c>
      <c r="M33" s="97" t="str" cm="1">
        <f t="array" ref="M33">IF(OR($A33="",COLUMNS($D33:M33)&gt;Beheer!$C$4),"",N(INDEX(Dashboard!$C$2:$AF$61,MATCH(LARGE(Dashboard!$AI$2:$AI$61,$A33),Dashboard!$AI$2:$AI$61,0),COLUMNS($D33:M33)))&amp;"/"&amp;INDEX(Beheer!$B$7:$B$36,COLUMNS($D33:M33)))</f>
        <v/>
      </c>
      <c r="N33" s="97" t="str" cm="1">
        <f t="array" ref="N33">IF(OR($A33="",COLUMNS($D33:N33)&gt;Beheer!$C$4),"",N(INDEX(Dashboard!$C$2:$AF$61,MATCH(LARGE(Dashboard!$AI$2:$AI$61,$A33),Dashboard!$AI$2:$AI$61,0),COLUMNS($D33:N33)))&amp;"/"&amp;INDEX(Beheer!$B$7:$B$36,COLUMNS($D33:N33)))</f>
        <v/>
      </c>
      <c r="O33" s="97" t="str" cm="1">
        <f t="array" ref="O33">IF(OR($A33="",COLUMNS($D33:O33)&gt;Beheer!$C$4),"",N(INDEX(Dashboard!$C$2:$AF$61,MATCH(LARGE(Dashboard!$AI$2:$AI$61,$A33),Dashboard!$AI$2:$AI$61,0),COLUMNS($D33:O33)))&amp;"/"&amp;INDEX(Beheer!$B$7:$B$36,COLUMNS($D33:O33)))</f>
        <v/>
      </c>
      <c r="P33" s="97" t="str" cm="1">
        <f t="array" ref="P33">IF(OR($A33="",COLUMNS($D33:P33)&gt;Beheer!$C$4),"",N(INDEX(Dashboard!$C$2:$AF$61,MATCH(LARGE(Dashboard!$AI$2:$AI$61,$A33),Dashboard!$AI$2:$AI$61,0),COLUMNS($D33:P33)))&amp;"/"&amp;INDEX(Beheer!$B$7:$B$36,COLUMNS($D33:P33)))</f>
        <v/>
      </c>
      <c r="Q33" s="97" t="str" cm="1">
        <f t="array" ref="Q33">IF(OR($A33="",COLUMNS($D33:Q33)&gt;Beheer!$C$4),"",N(INDEX(Dashboard!$C$2:$AF$61,MATCH(LARGE(Dashboard!$AI$2:$AI$61,$A33),Dashboard!$AI$2:$AI$61,0),COLUMNS($D33:Q33)))&amp;"/"&amp;INDEX(Beheer!$B$7:$B$36,COLUMNS($D33:Q33)))</f>
        <v/>
      </c>
      <c r="R33" s="97" t="str" cm="1">
        <f t="array" ref="R33">IF(OR($A33="",COLUMNS($D33:R33)&gt;Beheer!$C$4),"",N(INDEX(Dashboard!$C$2:$AF$61,MATCH(LARGE(Dashboard!$AI$2:$AI$61,$A33),Dashboard!$AI$2:$AI$61,0),COLUMNS($D33:R33)))&amp;"/"&amp;INDEX(Beheer!$B$7:$B$36,COLUMNS($D33:R33)))</f>
        <v/>
      </c>
      <c r="S33" s="97" t="str" cm="1">
        <f t="array" ref="S33">IF(OR($A33="",COLUMNS($D33:S33)&gt;Beheer!$C$4),"",N(INDEX(Dashboard!$C$2:$AF$61,MATCH(LARGE(Dashboard!$AI$2:$AI$61,$A33),Dashboard!$AI$2:$AI$61,0),COLUMNS($D33:S33)))&amp;"/"&amp;INDEX(Beheer!$B$7:$B$36,COLUMNS($D33:S33)))</f>
        <v/>
      </c>
      <c r="T33" s="97" t="str" cm="1">
        <f t="array" ref="T33">IF(OR($A33="",COLUMNS($D33:T33)&gt;Beheer!$C$4),"",N(INDEX(Dashboard!$C$2:$AF$61,MATCH(LARGE(Dashboard!$AI$2:$AI$61,$A33),Dashboard!$AI$2:$AI$61,0),COLUMNS($D33:T33)))&amp;"/"&amp;INDEX(Beheer!$B$7:$B$36,COLUMNS($D33:T33)))</f>
        <v/>
      </c>
      <c r="U33" s="97" t="str" cm="1">
        <f t="array" ref="U33">IF(OR($A33="",COLUMNS($D33:U33)&gt;Beheer!$C$4),"",N(INDEX(Dashboard!$C$2:$AF$61,MATCH(LARGE(Dashboard!$AI$2:$AI$61,$A33),Dashboard!$AI$2:$AI$61,0),COLUMNS($D33:U33)))&amp;"/"&amp;INDEX(Beheer!$B$7:$B$36,COLUMNS($D33:U33)))</f>
        <v/>
      </c>
      <c r="V33" s="97" t="str" cm="1">
        <f t="array" ref="V33">IF(OR($A33="",COLUMNS($D33:V33)&gt;Beheer!$C$4),"",N(INDEX(Dashboard!$C$2:$AF$61,MATCH(LARGE(Dashboard!$AI$2:$AI$61,$A33),Dashboard!$AI$2:$AI$61,0),COLUMNS($D33:V33)))&amp;"/"&amp;INDEX(Beheer!$B$7:$B$36,COLUMNS($D33:V33)))</f>
        <v/>
      </c>
      <c r="W33" s="97" t="str" cm="1">
        <f t="array" ref="W33">IF(OR($A33="",COLUMNS($D33:W33)&gt;Beheer!$C$4),"",N(INDEX(Dashboard!$C$2:$AF$61,MATCH(LARGE(Dashboard!$AI$2:$AI$61,$A33),Dashboard!$AI$2:$AI$61,0),COLUMNS($D33:W33)))&amp;"/"&amp;INDEX(Beheer!$B$7:$B$36,COLUMNS($D33:W33)))</f>
        <v/>
      </c>
      <c r="X33" s="97" t="str" cm="1">
        <f t="array" ref="X33">IF(OR($A33="",COLUMNS($D33:X33)&gt;Beheer!$C$4),"",N(INDEX(Dashboard!$C$2:$AF$61,MATCH(LARGE(Dashboard!$AI$2:$AI$61,$A33),Dashboard!$AI$2:$AI$61,0),COLUMNS($D33:X33)))&amp;"/"&amp;INDEX(Beheer!$B$7:$B$36,COLUMNS($D33:X33)))</f>
        <v/>
      </c>
      <c r="Y33" s="97" t="str" cm="1">
        <f t="array" ref="Y33">IF(OR($A33="",COLUMNS($D33:Y33)&gt;Beheer!$C$4),"",N(INDEX(Dashboard!$C$2:$AF$61,MATCH(LARGE(Dashboard!$AI$2:$AI$61,$A33),Dashboard!$AI$2:$AI$61,0),COLUMNS($D33:Y33)))&amp;"/"&amp;INDEX(Beheer!$B$7:$B$36,COLUMNS($D33:Y33)))</f>
        <v/>
      </c>
      <c r="Z33" s="97" t="str" cm="1">
        <f t="array" ref="Z33">IF(OR($A33="",COLUMNS($D33:Z33)&gt;Beheer!$C$4),"",N(INDEX(Dashboard!$C$2:$AF$61,MATCH(LARGE(Dashboard!$AI$2:$AI$61,$A33),Dashboard!$AI$2:$AI$61,0),COLUMNS($D33:Z33)))&amp;"/"&amp;INDEX(Beheer!$B$7:$B$36,COLUMNS($D33:Z33)))</f>
        <v/>
      </c>
      <c r="AA33" s="97" t="str" cm="1">
        <f t="array" ref="AA33">IF(OR($A33="",COLUMNS($D33:AA33)&gt;Beheer!$C$4),"",N(INDEX(Dashboard!$C$2:$AF$61,MATCH(LARGE(Dashboard!$AI$2:$AI$61,$A33),Dashboard!$AI$2:$AI$61,0),COLUMNS($D33:AA33)))&amp;"/"&amp;INDEX(Beheer!$B$7:$B$36,COLUMNS($D33:AA33)))</f>
        <v/>
      </c>
      <c r="AB33" s="97" t="str" cm="1">
        <f t="array" ref="AB33">IF(OR($A33="",COLUMNS($D33:AB33)&gt;Beheer!$C$4),"",N(INDEX(Dashboard!$C$2:$AF$61,MATCH(LARGE(Dashboard!$AI$2:$AI$61,$A33),Dashboard!$AI$2:$AI$61,0),COLUMNS($D33:AB33)))&amp;"/"&amp;INDEX(Beheer!$B$7:$B$36,COLUMNS($D33:AB33)))</f>
        <v/>
      </c>
      <c r="AC33" s="97" t="str" cm="1">
        <f t="array" ref="AC33">IF(OR($A33="",COLUMNS($D33:AC33)&gt;Beheer!$C$4),"",N(INDEX(Dashboard!$C$2:$AF$61,MATCH(LARGE(Dashboard!$AI$2:$AI$61,$A33),Dashboard!$AI$2:$AI$61,0),COLUMNS($D33:AC33)))&amp;"/"&amp;INDEX(Beheer!$B$7:$B$36,COLUMNS($D33:AC33)))</f>
        <v/>
      </c>
      <c r="AD33" s="97" t="str" cm="1">
        <f t="array" ref="AD33">IF(OR($A33="",COLUMNS($D33:AD33)&gt;Beheer!$C$4),"",N(INDEX(Dashboard!$C$2:$AF$61,MATCH(LARGE(Dashboard!$AI$2:$AI$61,$A33),Dashboard!$AI$2:$AI$61,0),COLUMNS($D33:AD33)))&amp;"/"&amp;INDEX(Beheer!$B$7:$B$36,COLUMNS($D33:AD33)))</f>
        <v/>
      </c>
      <c r="AE33" s="97" t="str" cm="1">
        <f t="array" ref="AE33">IF(OR($A33="",COLUMNS($D33:AE33)&gt;Beheer!$C$4),"",N(INDEX(Dashboard!$C$2:$AF$61,MATCH(LARGE(Dashboard!$AI$2:$AI$61,$A33),Dashboard!$AI$2:$AI$61,0),COLUMNS($D33:AE33)))&amp;"/"&amp;INDEX(Beheer!$B$7:$B$36,COLUMNS($D33:AE33)))</f>
        <v/>
      </c>
      <c r="AF33" s="97" t="str" cm="1">
        <f t="array" ref="AF33">IF(OR($A33="",COLUMNS($D33:AF33)&gt;Beheer!$C$4),"",N(INDEX(Dashboard!$C$2:$AF$61,MATCH(LARGE(Dashboard!$AI$2:$AI$61,$A33),Dashboard!$AI$2:$AI$61,0),COLUMNS($D33:AF33)))&amp;"/"&amp;INDEX(Beheer!$B$7:$B$36,COLUMNS($D33:AF33)))</f>
        <v/>
      </c>
      <c r="AG33" s="97" t="str" cm="1">
        <f t="array" ref="AG33">IF(OR($A33="",COLUMNS($D33:AG33)&gt;Beheer!$C$4),"",N(INDEX(Dashboard!$C$2:$AF$61,MATCH(LARGE(Dashboard!$AI$2:$AI$61,$A33),Dashboard!$AI$2:$AI$61,0),COLUMNS($D33:AG33)))&amp;"/"&amp;INDEX(Beheer!$B$7:$B$36,COLUMNS($D33:AG33)))</f>
        <v/>
      </c>
    </row>
    <row r="34" spans="1:33" ht="24" customHeight="1" thickBot="1" x14ac:dyDescent="0.5">
      <c r="A34" s="99" t="str">
        <f>IF(ROWS($A$2:A34)&gt;COUNTA(Beheer!$F$7:$F$66),"",ROWS($A$2:A34))</f>
        <v/>
      </c>
      <c r="B34" s="102" t="str">
        <f>IF($A34="","",INDEX(Dashboard!$A$2:$A$61,MATCH(LARGE(Dashboard!$AI$2:$AI$61,$A34),Dashboard!$AI$2:$AI$61,0)))</f>
        <v/>
      </c>
      <c r="C34" s="94" t="str">
        <f>IF($A34="","",INDEX(Dashboard!$AG$2:$AG$61,MATCH(LARGE(Dashboard!$AI$2:$AI$61,$A34),Dashboard!$AI$2:$AI$61,0))&amp;" / "&amp;INDEX(Dashboard!$AH$2:$AH$61,MATCH(LARGE(Dashboard!$AI$2:$AI$61,$A34),Dashboard!$AI$2:$AI$61,0)))</f>
        <v/>
      </c>
      <c r="D34" s="95" t="str" cm="1">
        <f t="array" ref="D34">IF(OR($A34="",COLUMNS($D34:D34)&gt;Beheer!$C$4),"",N(INDEX(Dashboard!$C$2:$AF$61,MATCH(LARGE(Dashboard!$AI$2:$AI$61,$A34),Dashboard!$AI$2:$AI$61,0),COLUMNS($D34:D34)))&amp;"/"&amp;INDEX(Beheer!$B$7:$B$36,COLUMNS($D34:D34)))</f>
        <v/>
      </c>
      <c r="E34" s="95" t="str" cm="1">
        <f t="array" ref="E34">IF(OR($A34="",COLUMNS($D34:E34)&gt;Beheer!$C$4),"",N(INDEX(Dashboard!$C$2:$AF$61,MATCH(LARGE(Dashboard!$AI$2:$AI$61,$A34),Dashboard!$AI$2:$AI$61,0),COLUMNS($D34:E34)))&amp;"/"&amp;INDEX(Beheer!$B$7:$B$36,COLUMNS($D34:E34)))</f>
        <v/>
      </c>
      <c r="F34" s="95" t="str" cm="1">
        <f t="array" ref="F34">IF(OR($A34="",COLUMNS($D34:F34)&gt;Beheer!$C$4),"",N(INDEX(Dashboard!$C$2:$AF$61,MATCH(LARGE(Dashboard!$AI$2:$AI$61,$A34),Dashboard!$AI$2:$AI$61,0),COLUMNS($D34:F34)))&amp;"/"&amp;INDEX(Beheer!$B$7:$B$36,COLUMNS($D34:F34)))</f>
        <v/>
      </c>
      <c r="G34" s="95" t="str" cm="1">
        <f t="array" ref="G34">IF(OR($A34="",COLUMNS($D34:G34)&gt;Beheer!$C$4),"",N(INDEX(Dashboard!$C$2:$AF$61,MATCH(LARGE(Dashboard!$AI$2:$AI$61,$A34),Dashboard!$AI$2:$AI$61,0),COLUMNS($D34:G34)))&amp;"/"&amp;INDEX(Beheer!$B$7:$B$36,COLUMNS($D34:G34)))</f>
        <v/>
      </c>
      <c r="H34" s="95" t="str" cm="1">
        <f t="array" ref="H34">IF(OR($A34="",COLUMNS($D34:H34)&gt;Beheer!$C$4),"",N(INDEX(Dashboard!$C$2:$AF$61,MATCH(LARGE(Dashboard!$AI$2:$AI$61,$A34),Dashboard!$AI$2:$AI$61,0),COLUMNS($D34:H34)))&amp;"/"&amp;INDEX(Beheer!$B$7:$B$36,COLUMNS($D34:H34)))</f>
        <v/>
      </c>
      <c r="I34" s="95" t="str" cm="1">
        <f t="array" ref="I34">IF(OR($A34="",COLUMNS($D34:I34)&gt;Beheer!$C$4),"",N(INDEX(Dashboard!$C$2:$AF$61,MATCH(LARGE(Dashboard!$AI$2:$AI$61,$A34),Dashboard!$AI$2:$AI$61,0),COLUMNS($D34:I34)))&amp;"/"&amp;INDEX(Beheer!$B$7:$B$36,COLUMNS($D34:I34)))</f>
        <v/>
      </c>
      <c r="J34" s="95" t="str" cm="1">
        <f t="array" ref="J34">IF(OR($A34="",COLUMNS($D34:J34)&gt;Beheer!$C$4),"",N(INDEX(Dashboard!$C$2:$AF$61,MATCH(LARGE(Dashboard!$AI$2:$AI$61,$A34),Dashboard!$AI$2:$AI$61,0),COLUMNS($D34:J34)))&amp;"/"&amp;INDEX(Beheer!$B$7:$B$36,COLUMNS($D34:J34)))</f>
        <v/>
      </c>
      <c r="K34" s="95" t="str" cm="1">
        <f t="array" ref="K34">IF(OR($A34="",COLUMNS($D34:K34)&gt;Beheer!$C$4),"",N(INDEX(Dashboard!$C$2:$AF$61,MATCH(LARGE(Dashboard!$AI$2:$AI$61,$A34),Dashboard!$AI$2:$AI$61,0),COLUMNS($D34:K34)))&amp;"/"&amp;INDEX(Beheer!$B$7:$B$36,COLUMNS($D34:K34)))</f>
        <v/>
      </c>
      <c r="L34" s="95" t="str" cm="1">
        <f t="array" ref="L34">IF(OR($A34="",COLUMNS($D34:L34)&gt;Beheer!$C$4),"",N(INDEX(Dashboard!$C$2:$AF$61,MATCH(LARGE(Dashboard!$AI$2:$AI$61,$A34),Dashboard!$AI$2:$AI$61,0),COLUMNS($D34:L34)))&amp;"/"&amp;INDEX(Beheer!$B$7:$B$36,COLUMNS($D34:L34)))</f>
        <v/>
      </c>
      <c r="M34" s="95" t="str" cm="1">
        <f t="array" ref="M34">IF(OR($A34="",COLUMNS($D34:M34)&gt;Beheer!$C$4),"",N(INDEX(Dashboard!$C$2:$AF$61,MATCH(LARGE(Dashboard!$AI$2:$AI$61,$A34),Dashboard!$AI$2:$AI$61,0),COLUMNS($D34:M34)))&amp;"/"&amp;INDEX(Beheer!$B$7:$B$36,COLUMNS($D34:M34)))</f>
        <v/>
      </c>
      <c r="N34" s="95" t="str" cm="1">
        <f t="array" ref="N34">IF(OR($A34="",COLUMNS($D34:N34)&gt;Beheer!$C$4),"",N(INDEX(Dashboard!$C$2:$AF$61,MATCH(LARGE(Dashboard!$AI$2:$AI$61,$A34),Dashboard!$AI$2:$AI$61,0),COLUMNS($D34:N34)))&amp;"/"&amp;INDEX(Beheer!$B$7:$B$36,COLUMNS($D34:N34)))</f>
        <v/>
      </c>
      <c r="O34" s="95" t="str" cm="1">
        <f t="array" ref="O34">IF(OR($A34="",COLUMNS($D34:O34)&gt;Beheer!$C$4),"",N(INDEX(Dashboard!$C$2:$AF$61,MATCH(LARGE(Dashboard!$AI$2:$AI$61,$A34),Dashboard!$AI$2:$AI$61,0),COLUMNS($D34:O34)))&amp;"/"&amp;INDEX(Beheer!$B$7:$B$36,COLUMNS($D34:O34)))</f>
        <v/>
      </c>
      <c r="P34" s="95" t="str" cm="1">
        <f t="array" ref="P34">IF(OR($A34="",COLUMNS($D34:P34)&gt;Beheer!$C$4),"",N(INDEX(Dashboard!$C$2:$AF$61,MATCH(LARGE(Dashboard!$AI$2:$AI$61,$A34),Dashboard!$AI$2:$AI$61,0),COLUMNS($D34:P34)))&amp;"/"&amp;INDEX(Beheer!$B$7:$B$36,COLUMNS($D34:P34)))</f>
        <v/>
      </c>
      <c r="Q34" s="95" t="str" cm="1">
        <f t="array" ref="Q34">IF(OR($A34="",COLUMNS($D34:Q34)&gt;Beheer!$C$4),"",N(INDEX(Dashboard!$C$2:$AF$61,MATCH(LARGE(Dashboard!$AI$2:$AI$61,$A34),Dashboard!$AI$2:$AI$61,0),COLUMNS($D34:Q34)))&amp;"/"&amp;INDEX(Beheer!$B$7:$B$36,COLUMNS($D34:Q34)))</f>
        <v/>
      </c>
      <c r="R34" s="95" t="str" cm="1">
        <f t="array" ref="R34">IF(OR($A34="",COLUMNS($D34:R34)&gt;Beheer!$C$4),"",N(INDEX(Dashboard!$C$2:$AF$61,MATCH(LARGE(Dashboard!$AI$2:$AI$61,$A34),Dashboard!$AI$2:$AI$61,0),COLUMNS($D34:R34)))&amp;"/"&amp;INDEX(Beheer!$B$7:$B$36,COLUMNS($D34:R34)))</f>
        <v/>
      </c>
      <c r="S34" s="95" t="str" cm="1">
        <f t="array" ref="S34">IF(OR($A34="",COLUMNS($D34:S34)&gt;Beheer!$C$4),"",N(INDEX(Dashboard!$C$2:$AF$61,MATCH(LARGE(Dashboard!$AI$2:$AI$61,$A34),Dashboard!$AI$2:$AI$61,0),COLUMNS($D34:S34)))&amp;"/"&amp;INDEX(Beheer!$B$7:$B$36,COLUMNS($D34:S34)))</f>
        <v/>
      </c>
      <c r="T34" s="95" t="str" cm="1">
        <f t="array" ref="T34">IF(OR($A34="",COLUMNS($D34:T34)&gt;Beheer!$C$4),"",N(INDEX(Dashboard!$C$2:$AF$61,MATCH(LARGE(Dashboard!$AI$2:$AI$61,$A34),Dashboard!$AI$2:$AI$61,0),COLUMNS($D34:T34)))&amp;"/"&amp;INDEX(Beheer!$B$7:$B$36,COLUMNS($D34:T34)))</f>
        <v/>
      </c>
      <c r="U34" s="95" t="str" cm="1">
        <f t="array" ref="U34">IF(OR($A34="",COLUMNS($D34:U34)&gt;Beheer!$C$4),"",N(INDEX(Dashboard!$C$2:$AF$61,MATCH(LARGE(Dashboard!$AI$2:$AI$61,$A34),Dashboard!$AI$2:$AI$61,0),COLUMNS($D34:U34)))&amp;"/"&amp;INDEX(Beheer!$B$7:$B$36,COLUMNS($D34:U34)))</f>
        <v/>
      </c>
      <c r="V34" s="95" t="str" cm="1">
        <f t="array" ref="V34">IF(OR($A34="",COLUMNS($D34:V34)&gt;Beheer!$C$4),"",N(INDEX(Dashboard!$C$2:$AF$61,MATCH(LARGE(Dashboard!$AI$2:$AI$61,$A34),Dashboard!$AI$2:$AI$61,0),COLUMNS($D34:V34)))&amp;"/"&amp;INDEX(Beheer!$B$7:$B$36,COLUMNS($D34:V34)))</f>
        <v/>
      </c>
      <c r="W34" s="95" t="str" cm="1">
        <f t="array" ref="W34">IF(OR($A34="",COLUMNS($D34:W34)&gt;Beheer!$C$4),"",N(INDEX(Dashboard!$C$2:$AF$61,MATCH(LARGE(Dashboard!$AI$2:$AI$61,$A34),Dashboard!$AI$2:$AI$61,0),COLUMNS($D34:W34)))&amp;"/"&amp;INDEX(Beheer!$B$7:$B$36,COLUMNS($D34:W34)))</f>
        <v/>
      </c>
      <c r="X34" s="95" t="str" cm="1">
        <f t="array" ref="X34">IF(OR($A34="",COLUMNS($D34:X34)&gt;Beheer!$C$4),"",N(INDEX(Dashboard!$C$2:$AF$61,MATCH(LARGE(Dashboard!$AI$2:$AI$61,$A34),Dashboard!$AI$2:$AI$61,0),COLUMNS($D34:X34)))&amp;"/"&amp;INDEX(Beheer!$B$7:$B$36,COLUMNS($D34:X34)))</f>
        <v/>
      </c>
      <c r="Y34" s="95" t="str" cm="1">
        <f t="array" ref="Y34">IF(OR($A34="",COLUMNS($D34:Y34)&gt;Beheer!$C$4),"",N(INDEX(Dashboard!$C$2:$AF$61,MATCH(LARGE(Dashboard!$AI$2:$AI$61,$A34),Dashboard!$AI$2:$AI$61,0),COLUMNS($D34:Y34)))&amp;"/"&amp;INDEX(Beheer!$B$7:$B$36,COLUMNS($D34:Y34)))</f>
        <v/>
      </c>
      <c r="Z34" s="95" t="str" cm="1">
        <f t="array" ref="Z34">IF(OR($A34="",COLUMNS($D34:Z34)&gt;Beheer!$C$4),"",N(INDEX(Dashboard!$C$2:$AF$61,MATCH(LARGE(Dashboard!$AI$2:$AI$61,$A34),Dashboard!$AI$2:$AI$61,0),COLUMNS($D34:Z34)))&amp;"/"&amp;INDEX(Beheer!$B$7:$B$36,COLUMNS($D34:Z34)))</f>
        <v/>
      </c>
      <c r="AA34" s="95" t="str" cm="1">
        <f t="array" ref="AA34">IF(OR($A34="",COLUMNS($D34:AA34)&gt;Beheer!$C$4),"",N(INDEX(Dashboard!$C$2:$AF$61,MATCH(LARGE(Dashboard!$AI$2:$AI$61,$A34),Dashboard!$AI$2:$AI$61,0),COLUMNS($D34:AA34)))&amp;"/"&amp;INDEX(Beheer!$B$7:$B$36,COLUMNS($D34:AA34)))</f>
        <v/>
      </c>
      <c r="AB34" s="95" t="str" cm="1">
        <f t="array" ref="AB34">IF(OR($A34="",COLUMNS($D34:AB34)&gt;Beheer!$C$4),"",N(INDEX(Dashboard!$C$2:$AF$61,MATCH(LARGE(Dashboard!$AI$2:$AI$61,$A34),Dashboard!$AI$2:$AI$61,0),COLUMNS($D34:AB34)))&amp;"/"&amp;INDEX(Beheer!$B$7:$B$36,COLUMNS($D34:AB34)))</f>
        <v/>
      </c>
      <c r="AC34" s="95" t="str" cm="1">
        <f t="array" ref="AC34">IF(OR($A34="",COLUMNS($D34:AC34)&gt;Beheer!$C$4),"",N(INDEX(Dashboard!$C$2:$AF$61,MATCH(LARGE(Dashboard!$AI$2:$AI$61,$A34),Dashboard!$AI$2:$AI$61,0),COLUMNS($D34:AC34)))&amp;"/"&amp;INDEX(Beheer!$B$7:$B$36,COLUMNS($D34:AC34)))</f>
        <v/>
      </c>
      <c r="AD34" s="95" t="str" cm="1">
        <f t="array" ref="AD34">IF(OR($A34="",COLUMNS($D34:AD34)&gt;Beheer!$C$4),"",N(INDEX(Dashboard!$C$2:$AF$61,MATCH(LARGE(Dashboard!$AI$2:$AI$61,$A34),Dashboard!$AI$2:$AI$61,0),COLUMNS($D34:AD34)))&amp;"/"&amp;INDEX(Beheer!$B$7:$B$36,COLUMNS($D34:AD34)))</f>
        <v/>
      </c>
      <c r="AE34" s="95" t="str" cm="1">
        <f t="array" ref="AE34">IF(OR($A34="",COLUMNS($D34:AE34)&gt;Beheer!$C$4),"",N(INDEX(Dashboard!$C$2:$AF$61,MATCH(LARGE(Dashboard!$AI$2:$AI$61,$A34),Dashboard!$AI$2:$AI$61,0),COLUMNS($D34:AE34)))&amp;"/"&amp;INDEX(Beheer!$B$7:$B$36,COLUMNS($D34:AE34)))</f>
        <v/>
      </c>
      <c r="AF34" s="95" t="str" cm="1">
        <f t="array" ref="AF34">IF(OR($A34="",COLUMNS($D34:AF34)&gt;Beheer!$C$4),"",N(INDEX(Dashboard!$C$2:$AF$61,MATCH(LARGE(Dashboard!$AI$2:$AI$61,$A34),Dashboard!$AI$2:$AI$61,0),COLUMNS($D34:AF34)))&amp;"/"&amp;INDEX(Beheer!$B$7:$B$36,COLUMNS($D34:AF34)))</f>
        <v/>
      </c>
      <c r="AG34" s="95" t="str" cm="1">
        <f t="array" ref="AG34">IF(OR($A34="",COLUMNS($D34:AG34)&gt;Beheer!$C$4),"",N(INDEX(Dashboard!$C$2:$AF$61,MATCH(LARGE(Dashboard!$AI$2:$AI$61,$A34),Dashboard!$AI$2:$AI$61,0),COLUMNS($D34:AG34)))&amp;"/"&amp;INDEX(Beheer!$B$7:$B$36,COLUMNS($D34:AG34)))</f>
        <v/>
      </c>
    </row>
    <row r="35" spans="1:33" ht="24" customHeight="1" thickBot="1" x14ac:dyDescent="0.5">
      <c r="A35" s="98" t="str">
        <f>IF(ROWS($A$2:A35)&gt;COUNTA(Beheer!$F$7:$F$66),"",ROWS($A$2:A35))</f>
        <v/>
      </c>
      <c r="B35" s="101" t="str">
        <f>IF($A35="","",INDEX(Dashboard!$A$2:$A$61,MATCH(LARGE(Dashboard!$AI$2:$AI$61,$A35),Dashboard!$AI$2:$AI$61,0)))</f>
        <v/>
      </c>
      <c r="C35" s="96" t="str">
        <f>IF($A35="","",INDEX(Dashboard!$AG$2:$AG$61,MATCH(LARGE(Dashboard!$AI$2:$AI$61,$A35),Dashboard!$AI$2:$AI$61,0))&amp;" / "&amp;INDEX(Dashboard!$AH$2:$AH$61,MATCH(LARGE(Dashboard!$AI$2:$AI$61,$A35),Dashboard!$AI$2:$AI$61,0)))</f>
        <v/>
      </c>
      <c r="D35" s="97" t="str" cm="1">
        <f t="array" ref="D35">IF(OR($A35="",COLUMNS($D35:D35)&gt;Beheer!$C$4),"",N(INDEX(Dashboard!$C$2:$AF$61,MATCH(LARGE(Dashboard!$AI$2:$AI$61,$A35),Dashboard!$AI$2:$AI$61,0),COLUMNS($D35:D35)))&amp;"/"&amp;INDEX(Beheer!$B$7:$B$36,COLUMNS($D35:D35)))</f>
        <v/>
      </c>
      <c r="E35" s="97" t="str" cm="1">
        <f t="array" ref="E35">IF(OR($A35="",COLUMNS($D35:E35)&gt;Beheer!$C$4),"",N(INDEX(Dashboard!$C$2:$AF$61,MATCH(LARGE(Dashboard!$AI$2:$AI$61,$A35),Dashboard!$AI$2:$AI$61,0),COLUMNS($D35:E35)))&amp;"/"&amp;INDEX(Beheer!$B$7:$B$36,COLUMNS($D35:E35)))</f>
        <v/>
      </c>
      <c r="F35" s="97" t="str" cm="1">
        <f t="array" ref="F35">IF(OR($A35="",COLUMNS($D35:F35)&gt;Beheer!$C$4),"",N(INDEX(Dashboard!$C$2:$AF$61,MATCH(LARGE(Dashboard!$AI$2:$AI$61,$A35),Dashboard!$AI$2:$AI$61,0),COLUMNS($D35:F35)))&amp;"/"&amp;INDEX(Beheer!$B$7:$B$36,COLUMNS($D35:F35)))</f>
        <v/>
      </c>
      <c r="G35" s="97" t="str" cm="1">
        <f t="array" ref="G35">IF(OR($A35="",COLUMNS($D35:G35)&gt;Beheer!$C$4),"",N(INDEX(Dashboard!$C$2:$AF$61,MATCH(LARGE(Dashboard!$AI$2:$AI$61,$A35),Dashboard!$AI$2:$AI$61,0),COLUMNS($D35:G35)))&amp;"/"&amp;INDEX(Beheer!$B$7:$B$36,COLUMNS($D35:G35)))</f>
        <v/>
      </c>
      <c r="H35" s="97" t="str" cm="1">
        <f t="array" ref="H35">IF(OR($A35="",COLUMNS($D35:H35)&gt;Beheer!$C$4),"",N(INDEX(Dashboard!$C$2:$AF$61,MATCH(LARGE(Dashboard!$AI$2:$AI$61,$A35),Dashboard!$AI$2:$AI$61,0),COLUMNS($D35:H35)))&amp;"/"&amp;INDEX(Beheer!$B$7:$B$36,COLUMNS($D35:H35)))</f>
        <v/>
      </c>
      <c r="I35" s="97" t="str" cm="1">
        <f t="array" ref="I35">IF(OR($A35="",COLUMNS($D35:I35)&gt;Beheer!$C$4),"",N(INDEX(Dashboard!$C$2:$AF$61,MATCH(LARGE(Dashboard!$AI$2:$AI$61,$A35),Dashboard!$AI$2:$AI$61,0),COLUMNS($D35:I35)))&amp;"/"&amp;INDEX(Beheer!$B$7:$B$36,COLUMNS($D35:I35)))</f>
        <v/>
      </c>
      <c r="J35" s="97" t="str" cm="1">
        <f t="array" ref="J35">IF(OR($A35="",COLUMNS($D35:J35)&gt;Beheer!$C$4),"",N(INDEX(Dashboard!$C$2:$AF$61,MATCH(LARGE(Dashboard!$AI$2:$AI$61,$A35),Dashboard!$AI$2:$AI$61,0),COLUMNS($D35:J35)))&amp;"/"&amp;INDEX(Beheer!$B$7:$B$36,COLUMNS($D35:J35)))</f>
        <v/>
      </c>
      <c r="K35" s="97" t="str" cm="1">
        <f t="array" ref="K35">IF(OR($A35="",COLUMNS($D35:K35)&gt;Beheer!$C$4),"",N(INDEX(Dashboard!$C$2:$AF$61,MATCH(LARGE(Dashboard!$AI$2:$AI$61,$A35),Dashboard!$AI$2:$AI$61,0),COLUMNS($D35:K35)))&amp;"/"&amp;INDEX(Beheer!$B$7:$B$36,COLUMNS($D35:K35)))</f>
        <v/>
      </c>
      <c r="L35" s="97" t="str" cm="1">
        <f t="array" ref="L35">IF(OR($A35="",COLUMNS($D35:L35)&gt;Beheer!$C$4),"",N(INDEX(Dashboard!$C$2:$AF$61,MATCH(LARGE(Dashboard!$AI$2:$AI$61,$A35),Dashboard!$AI$2:$AI$61,0),COLUMNS($D35:L35)))&amp;"/"&amp;INDEX(Beheer!$B$7:$B$36,COLUMNS($D35:L35)))</f>
        <v/>
      </c>
      <c r="M35" s="97" t="str" cm="1">
        <f t="array" ref="M35">IF(OR($A35="",COLUMNS($D35:M35)&gt;Beheer!$C$4),"",N(INDEX(Dashboard!$C$2:$AF$61,MATCH(LARGE(Dashboard!$AI$2:$AI$61,$A35),Dashboard!$AI$2:$AI$61,0),COLUMNS($D35:M35)))&amp;"/"&amp;INDEX(Beheer!$B$7:$B$36,COLUMNS($D35:M35)))</f>
        <v/>
      </c>
      <c r="N35" s="97" t="str" cm="1">
        <f t="array" ref="N35">IF(OR($A35="",COLUMNS($D35:N35)&gt;Beheer!$C$4),"",N(INDEX(Dashboard!$C$2:$AF$61,MATCH(LARGE(Dashboard!$AI$2:$AI$61,$A35),Dashboard!$AI$2:$AI$61,0),COLUMNS($D35:N35)))&amp;"/"&amp;INDEX(Beheer!$B$7:$B$36,COLUMNS($D35:N35)))</f>
        <v/>
      </c>
      <c r="O35" s="97" t="str" cm="1">
        <f t="array" ref="O35">IF(OR($A35="",COLUMNS($D35:O35)&gt;Beheer!$C$4),"",N(INDEX(Dashboard!$C$2:$AF$61,MATCH(LARGE(Dashboard!$AI$2:$AI$61,$A35),Dashboard!$AI$2:$AI$61,0),COLUMNS($D35:O35)))&amp;"/"&amp;INDEX(Beheer!$B$7:$B$36,COLUMNS($D35:O35)))</f>
        <v/>
      </c>
      <c r="P35" s="97" t="str" cm="1">
        <f t="array" ref="P35">IF(OR($A35="",COLUMNS($D35:P35)&gt;Beheer!$C$4),"",N(INDEX(Dashboard!$C$2:$AF$61,MATCH(LARGE(Dashboard!$AI$2:$AI$61,$A35),Dashboard!$AI$2:$AI$61,0),COLUMNS($D35:P35)))&amp;"/"&amp;INDEX(Beheer!$B$7:$B$36,COLUMNS($D35:P35)))</f>
        <v/>
      </c>
      <c r="Q35" s="97" t="str" cm="1">
        <f t="array" ref="Q35">IF(OR($A35="",COLUMNS($D35:Q35)&gt;Beheer!$C$4),"",N(INDEX(Dashboard!$C$2:$AF$61,MATCH(LARGE(Dashboard!$AI$2:$AI$61,$A35),Dashboard!$AI$2:$AI$61,0),COLUMNS($D35:Q35)))&amp;"/"&amp;INDEX(Beheer!$B$7:$B$36,COLUMNS($D35:Q35)))</f>
        <v/>
      </c>
      <c r="R35" s="97" t="str" cm="1">
        <f t="array" ref="R35">IF(OR($A35="",COLUMNS($D35:R35)&gt;Beheer!$C$4),"",N(INDEX(Dashboard!$C$2:$AF$61,MATCH(LARGE(Dashboard!$AI$2:$AI$61,$A35),Dashboard!$AI$2:$AI$61,0),COLUMNS($D35:R35)))&amp;"/"&amp;INDEX(Beheer!$B$7:$B$36,COLUMNS($D35:R35)))</f>
        <v/>
      </c>
      <c r="S35" s="97" t="str" cm="1">
        <f t="array" ref="S35">IF(OR($A35="",COLUMNS($D35:S35)&gt;Beheer!$C$4),"",N(INDEX(Dashboard!$C$2:$AF$61,MATCH(LARGE(Dashboard!$AI$2:$AI$61,$A35),Dashboard!$AI$2:$AI$61,0),COLUMNS($D35:S35)))&amp;"/"&amp;INDEX(Beheer!$B$7:$B$36,COLUMNS($D35:S35)))</f>
        <v/>
      </c>
      <c r="T35" s="97" t="str" cm="1">
        <f t="array" ref="T35">IF(OR($A35="",COLUMNS($D35:T35)&gt;Beheer!$C$4),"",N(INDEX(Dashboard!$C$2:$AF$61,MATCH(LARGE(Dashboard!$AI$2:$AI$61,$A35),Dashboard!$AI$2:$AI$61,0),COLUMNS($D35:T35)))&amp;"/"&amp;INDEX(Beheer!$B$7:$B$36,COLUMNS($D35:T35)))</f>
        <v/>
      </c>
      <c r="U35" s="97" t="str" cm="1">
        <f t="array" ref="U35">IF(OR($A35="",COLUMNS($D35:U35)&gt;Beheer!$C$4),"",N(INDEX(Dashboard!$C$2:$AF$61,MATCH(LARGE(Dashboard!$AI$2:$AI$61,$A35),Dashboard!$AI$2:$AI$61,0),COLUMNS($D35:U35)))&amp;"/"&amp;INDEX(Beheer!$B$7:$B$36,COLUMNS($D35:U35)))</f>
        <v/>
      </c>
      <c r="V35" s="97" t="str" cm="1">
        <f t="array" ref="V35">IF(OR($A35="",COLUMNS($D35:V35)&gt;Beheer!$C$4),"",N(INDEX(Dashboard!$C$2:$AF$61,MATCH(LARGE(Dashboard!$AI$2:$AI$61,$A35),Dashboard!$AI$2:$AI$61,0),COLUMNS($D35:V35)))&amp;"/"&amp;INDEX(Beheer!$B$7:$B$36,COLUMNS($D35:V35)))</f>
        <v/>
      </c>
      <c r="W35" s="97" t="str" cm="1">
        <f t="array" ref="W35">IF(OR($A35="",COLUMNS($D35:W35)&gt;Beheer!$C$4),"",N(INDEX(Dashboard!$C$2:$AF$61,MATCH(LARGE(Dashboard!$AI$2:$AI$61,$A35),Dashboard!$AI$2:$AI$61,0),COLUMNS($D35:W35)))&amp;"/"&amp;INDEX(Beheer!$B$7:$B$36,COLUMNS($D35:W35)))</f>
        <v/>
      </c>
      <c r="X35" s="97" t="str" cm="1">
        <f t="array" ref="X35">IF(OR($A35="",COLUMNS($D35:X35)&gt;Beheer!$C$4),"",N(INDEX(Dashboard!$C$2:$AF$61,MATCH(LARGE(Dashboard!$AI$2:$AI$61,$A35),Dashboard!$AI$2:$AI$61,0),COLUMNS($D35:X35)))&amp;"/"&amp;INDEX(Beheer!$B$7:$B$36,COLUMNS($D35:X35)))</f>
        <v/>
      </c>
      <c r="Y35" s="97" t="str" cm="1">
        <f t="array" ref="Y35">IF(OR($A35="",COLUMNS($D35:Y35)&gt;Beheer!$C$4),"",N(INDEX(Dashboard!$C$2:$AF$61,MATCH(LARGE(Dashboard!$AI$2:$AI$61,$A35),Dashboard!$AI$2:$AI$61,0),COLUMNS($D35:Y35)))&amp;"/"&amp;INDEX(Beheer!$B$7:$B$36,COLUMNS($D35:Y35)))</f>
        <v/>
      </c>
      <c r="Z35" s="97" t="str" cm="1">
        <f t="array" ref="Z35">IF(OR($A35="",COLUMNS($D35:Z35)&gt;Beheer!$C$4),"",N(INDEX(Dashboard!$C$2:$AF$61,MATCH(LARGE(Dashboard!$AI$2:$AI$61,$A35),Dashboard!$AI$2:$AI$61,0),COLUMNS($D35:Z35)))&amp;"/"&amp;INDEX(Beheer!$B$7:$B$36,COLUMNS($D35:Z35)))</f>
        <v/>
      </c>
      <c r="AA35" s="97" t="str" cm="1">
        <f t="array" ref="AA35">IF(OR($A35="",COLUMNS($D35:AA35)&gt;Beheer!$C$4),"",N(INDEX(Dashboard!$C$2:$AF$61,MATCH(LARGE(Dashboard!$AI$2:$AI$61,$A35),Dashboard!$AI$2:$AI$61,0),COLUMNS($D35:AA35)))&amp;"/"&amp;INDEX(Beheer!$B$7:$B$36,COLUMNS($D35:AA35)))</f>
        <v/>
      </c>
      <c r="AB35" s="97" t="str" cm="1">
        <f t="array" ref="AB35">IF(OR($A35="",COLUMNS($D35:AB35)&gt;Beheer!$C$4),"",N(INDEX(Dashboard!$C$2:$AF$61,MATCH(LARGE(Dashboard!$AI$2:$AI$61,$A35),Dashboard!$AI$2:$AI$61,0),COLUMNS($D35:AB35)))&amp;"/"&amp;INDEX(Beheer!$B$7:$B$36,COLUMNS($D35:AB35)))</f>
        <v/>
      </c>
      <c r="AC35" s="97" t="str" cm="1">
        <f t="array" ref="AC35">IF(OR($A35="",COLUMNS($D35:AC35)&gt;Beheer!$C$4),"",N(INDEX(Dashboard!$C$2:$AF$61,MATCH(LARGE(Dashboard!$AI$2:$AI$61,$A35),Dashboard!$AI$2:$AI$61,0),COLUMNS($D35:AC35)))&amp;"/"&amp;INDEX(Beheer!$B$7:$B$36,COLUMNS($D35:AC35)))</f>
        <v/>
      </c>
      <c r="AD35" s="97" t="str" cm="1">
        <f t="array" ref="AD35">IF(OR($A35="",COLUMNS($D35:AD35)&gt;Beheer!$C$4),"",N(INDEX(Dashboard!$C$2:$AF$61,MATCH(LARGE(Dashboard!$AI$2:$AI$61,$A35),Dashboard!$AI$2:$AI$61,0),COLUMNS($D35:AD35)))&amp;"/"&amp;INDEX(Beheer!$B$7:$B$36,COLUMNS($D35:AD35)))</f>
        <v/>
      </c>
      <c r="AE35" s="97" t="str" cm="1">
        <f t="array" ref="AE35">IF(OR($A35="",COLUMNS($D35:AE35)&gt;Beheer!$C$4),"",N(INDEX(Dashboard!$C$2:$AF$61,MATCH(LARGE(Dashboard!$AI$2:$AI$61,$A35),Dashboard!$AI$2:$AI$61,0),COLUMNS($D35:AE35)))&amp;"/"&amp;INDEX(Beheer!$B$7:$B$36,COLUMNS($D35:AE35)))</f>
        <v/>
      </c>
      <c r="AF35" s="97" t="str" cm="1">
        <f t="array" ref="AF35">IF(OR($A35="",COLUMNS($D35:AF35)&gt;Beheer!$C$4),"",N(INDEX(Dashboard!$C$2:$AF$61,MATCH(LARGE(Dashboard!$AI$2:$AI$61,$A35),Dashboard!$AI$2:$AI$61,0),COLUMNS($D35:AF35)))&amp;"/"&amp;INDEX(Beheer!$B$7:$B$36,COLUMNS($D35:AF35)))</f>
        <v/>
      </c>
      <c r="AG35" s="97" t="str" cm="1">
        <f t="array" ref="AG35">IF(OR($A35="",COLUMNS($D35:AG35)&gt;Beheer!$C$4),"",N(INDEX(Dashboard!$C$2:$AF$61,MATCH(LARGE(Dashboard!$AI$2:$AI$61,$A35),Dashboard!$AI$2:$AI$61,0),COLUMNS($D35:AG35)))&amp;"/"&amp;INDEX(Beheer!$B$7:$B$36,COLUMNS($D35:AG35)))</f>
        <v/>
      </c>
    </row>
    <row r="36" spans="1:33" ht="24" customHeight="1" thickBot="1" x14ac:dyDescent="0.5">
      <c r="A36" s="99" t="str">
        <f>IF(ROWS($A$2:A36)&gt;COUNTA(Beheer!$F$7:$F$66),"",ROWS($A$2:A36))</f>
        <v/>
      </c>
      <c r="B36" s="102" t="str">
        <f>IF($A36="","",INDEX(Dashboard!$A$2:$A$61,MATCH(LARGE(Dashboard!$AI$2:$AI$61,$A36),Dashboard!$AI$2:$AI$61,0)))</f>
        <v/>
      </c>
      <c r="C36" s="94" t="str">
        <f>IF($A36="","",INDEX(Dashboard!$AG$2:$AG$61,MATCH(LARGE(Dashboard!$AI$2:$AI$61,$A36),Dashboard!$AI$2:$AI$61,0))&amp;" / "&amp;INDEX(Dashboard!$AH$2:$AH$61,MATCH(LARGE(Dashboard!$AI$2:$AI$61,$A36),Dashboard!$AI$2:$AI$61,0)))</f>
        <v/>
      </c>
      <c r="D36" s="95" t="str" cm="1">
        <f t="array" ref="D36">IF(OR($A36="",COLUMNS($D36:D36)&gt;Beheer!$C$4),"",N(INDEX(Dashboard!$C$2:$AF$61,MATCH(LARGE(Dashboard!$AI$2:$AI$61,$A36),Dashboard!$AI$2:$AI$61,0),COLUMNS($D36:D36)))&amp;"/"&amp;INDEX(Beheer!$B$7:$B$36,COLUMNS($D36:D36)))</f>
        <v/>
      </c>
      <c r="E36" s="95" t="str" cm="1">
        <f t="array" ref="E36">IF(OR($A36="",COLUMNS($D36:E36)&gt;Beheer!$C$4),"",N(INDEX(Dashboard!$C$2:$AF$61,MATCH(LARGE(Dashboard!$AI$2:$AI$61,$A36),Dashboard!$AI$2:$AI$61,0),COLUMNS($D36:E36)))&amp;"/"&amp;INDEX(Beheer!$B$7:$B$36,COLUMNS($D36:E36)))</f>
        <v/>
      </c>
      <c r="F36" s="95" t="str" cm="1">
        <f t="array" ref="F36">IF(OR($A36="",COLUMNS($D36:F36)&gt;Beheer!$C$4),"",N(INDEX(Dashboard!$C$2:$AF$61,MATCH(LARGE(Dashboard!$AI$2:$AI$61,$A36),Dashboard!$AI$2:$AI$61,0),COLUMNS($D36:F36)))&amp;"/"&amp;INDEX(Beheer!$B$7:$B$36,COLUMNS($D36:F36)))</f>
        <v/>
      </c>
      <c r="G36" s="95" t="str" cm="1">
        <f t="array" ref="G36">IF(OR($A36="",COLUMNS($D36:G36)&gt;Beheer!$C$4),"",N(INDEX(Dashboard!$C$2:$AF$61,MATCH(LARGE(Dashboard!$AI$2:$AI$61,$A36),Dashboard!$AI$2:$AI$61,0),COLUMNS($D36:G36)))&amp;"/"&amp;INDEX(Beheer!$B$7:$B$36,COLUMNS($D36:G36)))</f>
        <v/>
      </c>
      <c r="H36" s="95" t="str" cm="1">
        <f t="array" ref="H36">IF(OR($A36="",COLUMNS($D36:H36)&gt;Beheer!$C$4),"",N(INDEX(Dashboard!$C$2:$AF$61,MATCH(LARGE(Dashboard!$AI$2:$AI$61,$A36),Dashboard!$AI$2:$AI$61,0),COLUMNS($D36:H36)))&amp;"/"&amp;INDEX(Beheer!$B$7:$B$36,COLUMNS($D36:H36)))</f>
        <v/>
      </c>
      <c r="I36" s="95" t="str" cm="1">
        <f t="array" ref="I36">IF(OR($A36="",COLUMNS($D36:I36)&gt;Beheer!$C$4),"",N(INDEX(Dashboard!$C$2:$AF$61,MATCH(LARGE(Dashboard!$AI$2:$AI$61,$A36),Dashboard!$AI$2:$AI$61,0),COLUMNS($D36:I36)))&amp;"/"&amp;INDEX(Beheer!$B$7:$B$36,COLUMNS($D36:I36)))</f>
        <v/>
      </c>
      <c r="J36" s="95" t="str" cm="1">
        <f t="array" ref="J36">IF(OR($A36="",COLUMNS($D36:J36)&gt;Beheer!$C$4),"",N(INDEX(Dashboard!$C$2:$AF$61,MATCH(LARGE(Dashboard!$AI$2:$AI$61,$A36),Dashboard!$AI$2:$AI$61,0),COLUMNS($D36:J36)))&amp;"/"&amp;INDEX(Beheer!$B$7:$B$36,COLUMNS($D36:J36)))</f>
        <v/>
      </c>
      <c r="K36" s="95" t="str" cm="1">
        <f t="array" ref="K36">IF(OR($A36="",COLUMNS($D36:K36)&gt;Beheer!$C$4),"",N(INDEX(Dashboard!$C$2:$AF$61,MATCH(LARGE(Dashboard!$AI$2:$AI$61,$A36),Dashboard!$AI$2:$AI$61,0),COLUMNS($D36:K36)))&amp;"/"&amp;INDEX(Beheer!$B$7:$B$36,COLUMNS($D36:K36)))</f>
        <v/>
      </c>
      <c r="L36" s="95" t="str" cm="1">
        <f t="array" ref="L36">IF(OR($A36="",COLUMNS($D36:L36)&gt;Beheer!$C$4),"",N(INDEX(Dashboard!$C$2:$AF$61,MATCH(LARGE(Dashboard!$AI$2:$AI$61,$A36),Dashboard!$AI$2:$AI$61,0),COLUMNS($D36:L36)))&amp;"/"&amp;INDEX(Beheer!$B$7:$B$36,COLUMNS($D36:L36)))</f>
        <v/>
      </c>
      <c r="M36" s="95" t="str" cm="1">
        <f t="array" ref="M36">IF(OR($A36="",COLUMNS($D36:M36)&gt;Beheer!$C$4),"",N(INDEX(Dashboard!$C$2:$AF$61,MATCH(LARGE(Dashboard!$AI$2:$AI$61,$A36),Dashboard!$AI$2:$AI$61,0),COLUMNS($D36:M36)))&amp;"/"&amp;INDEX(Beheer!$B$7:$B$36,COLUMNS($D36:M36)))</f>
        <v/>
      </c>
      <c r="N36" s="95" t="str" cm="1">
        <f t="array" ref="N36">IF(OR($A36="",COLUMNS($D36:N36)&gt;Beheer!$C$4),"",N(INDEX(Dashboard!$C$2:$AF$61,MATCH(LARGE(Dashboard!$AI$2:$AI$61,$A36),Dashboard!$AI$2:$AI$61,0),COLUMNS($D36:N36)))&amp;"/"&amp;INDEX(Beheer!$B$7:$B$36,COLUMNS($D36:N36)))</f>
        <v/>
      </c>
      <c r="O36" s="95" t="str" cm="1">
        <f t="array" ref="O36">IF(OR($A36="",COLUMNS($D36:O36)&gt;Beheer!$C$4),"",N(INDEX(Dashboard!$C$2:$AF$61,MATCH(LARGE(Dashboard!$AI$2:$AI$61,$A36),Dashboard!$AI$2:$AI$61,0),COLUMNS($D36:O36)))&amp;"/"&amp;INDEX(Beheer!$B$7:$B$36,COLUMNS($D36:O36)))</f>
        <v/>
      </c>
      <c r="P36" s="95" t="str" cm="1">
        <f t="array" ref="P36">IF(OR($A36="",COLUMNS($D36:P36)&gt;Beheer!$C$4),"",N(INDEX(Dashboard!$C$2:$AF$61,MATCH(LARGE(Dashboard!$AI$2:$AI$61,$A36),Dashboard!$AI$2:$AI$61,0),COLUMNS($D36:P36)))&amp;"/"&amp;INDEX(Beheer!$B$7:$B$36,COLUMNS($D36:P36)))</f>
        <v/>
      </c>
      <c r="Q36" s="95" t="str" cm="1">
        <f t="array" ref="Q36">IF(OR($A36="",COLUMNS($D36:Q36)&gt;Beheer!$C$4),"",N(INDEX(Dashboard!$C$2:$AF$61,MATCH(LARGE(Dashboard!$AI$2:$AI$61,$A36),Dashboard!$AI$2:$AI$61,0),COLUMNS($D36:Q36)))&amp;"/"&amp;INDEX(Beheer!$B$7:$B$36,COLUMNS($D36:Q36)))</f>
        <v/>
      </c>
      <c r="R36" s="95" t="str" cm="1">
        <f t="array" ref="R36">IF(OR($A36="",COLUMNS($D36:R36)&gt;Beheer!$C$4),"",N(INDEX(Dashboard!$C$2:$AF$61,MATCH(LARGE(Dashboard!$AI$2:$AI$61,$A36),Dashboard!$AI$2:$AI$61,0),COLUMNS($D36:R36)))&amp;"/"&amp;INDEX(Beheer!$B$7:$B$36,COLUMNS($D36:R36)))</f>
        <v/>
      </c>
      <c r="S36" s="95" t="str" cm="1">
        <f t="array" ref="S36">IF(OR($A36="",COLUMNS($D36:S36)&gt;Beheer!$C$4),"",N(INDEX(Dashboard!$C$2:$AF$61,MATCH(LARGE(Dashboard!$AI$2:$AI$61,$A36),Dashboard!$AI$2:$AI$61,0),COLUMNS($D36:S36)))&amp;"/"&amp;INDEX(Beheer!$B$7:$B$36,COLUMNS($D36:S36)))</f>
        <v/>
      </c>
      <c r="T36" s="95" t="str" cm="1">
        <f t="array" ref="T36">IF(OR($A36="",COLUMNS($D36:T36)&gt;Beheer!$C$4),"",N(INDEX(Dashboard!$C$2:$AF$61,MATCH(LARGE(Dashboard!$AI$2:$AI$61,$A36),Dashboard!$AI$2:$AI$61,0),COLUMNS($D36:T36)))&amp;"/"&amp;INDEX(Beheer!$B$7:$B$36,COLUMNS($D36:T36)))</f>
        <v/>
      </c>
      <c r="U36" s="95" t="str" cm="1">
        <f t="array" ref="U36">IF(OR($A36="",COLUMNS($D36:U36)&gt;Beheer!$C$4),"",N(INDEX(Dashboard!$C$2:$AF$61,MATCH(LARGE(Dashboard!$AI$2:$AI$61,$A36),Dashboard!$AI$2:$AI$61,0),COLUMNS($D36:U36)))&amp;"/"&amp;INDEX(Beheer!$B$7:$B$36,COLUMNS($D36:U36)))</f>
        <v/>
      </c>
      <c r="V36" s="95" t="str" cm="1">
        <f t="array" ref="V36">IF(OR($A36="",COLUMNS($D36:V36)&gt;Beheer!$C$4),"",N(INDEX(Dashboard!$C$2:$AF$61,MATCH(LARGE(Dashboard!$AI$2:$AI$61,$A36),Dashboard!$AI$2:$AI$61,0),COLUMNS($D36:V36)))&amp;"/"&amp;INDEX(Beheer!$B$7:$B$36,COLUMNS($D36:V36)))</f>
        <v/>
      </c>
      <c r="W36" s="95" t="str" cm="1">
        <f t="array" ref="W36">IF(OR($A36="",COLUMNS($D36:W36)&gt;Beheer!$C$4),"",N(INDEX(Dashboard!$C$2:$AF$61,MATCH(LARGE(Dashboard!$AI$2:$AI$61,$A36),Dashboard!$AI$2:$AI$61,0),COLUMNS($D36:W36)))&amp;"/"&amp;INDEX(Beheer!$B$7:$B$36,COLUMNS($D36:W36)))</f>
        <v/>
      </c>
      <c r="X36" s="95" t="str" cm="1">
        <f t="array" ref="X36">IF(OR($A36="",COLUMNS($D36:X36)&gt;Beheer!$C$4),"",N(INDEX(Dashboard!$C$2:$AF$61,MATCH(LARGE(Dashboard!$AI$2:$AI$61,$A36),Dashboard!$AI$2:$AI$61,0),COLUMNS($D36:X36)))&amp;"/"&amp;INDEX(Beheer!$B$7:$B$36,COLUMNS($D36:X36)))</f>
        <v/>
      </c>
      <c r="Y36" s="95" t="str" cm="1">
        <f t="array" ref="Y36">IF(OR($A36="",COLUMNS($D36:Y36)&gt;Beheer!$C$4),"",N(INDEX(Dashboard!$C$2:$AF$61,MATCH(LARGE(Dashboard!$AI$2:$AI$61,$A36),Dashboard!$AI$2:$AI$61,0),COLUMNS($D36:Y36)))&amp;"/"&amp;INDEX(Beheer!$B$7:$B$36,COLUMNS($D36:Y36)))</f>
        <v/>
      </c>
      <c r="Z36" s="95" t="str" cm="1">
        <f t="array" ref="Z36">IF(OR($A36="",COLUMNS($D36:Z36)&gt;Beheer!$C$4),"",N(INDEX(Dashboard!$C$2:$AF$61,MATCH(LARGE(Dashboard!$AI$2:$AI$61,$A36),Dashboard!$AI$2:$AI$61,0),COLUMNS($D36:Z36)))&amp;"/"&amp;INDEX(Beheer!$B$7:$B$36,COLUMNS($D36:Z36)))</f>
        <v/>
      </c>
      <c r="AA36" s="95" t="str" cm="1">
        <f t="array" ref="AA36">IF(OR($A36="",COLUMNS($D36:AA36)&gt;Beheer!$C$4),"",N(INDEX(Dashboard!$C$2:$AF$61,MATCH(LARGE(Dashboard!$AI$2:$AI$61,$A36),Dashboard!$AI$2:$AI$61,0),COLUMNS($D36:AA36)))&amp;"/"&amp;INDEX(Beheer!$B$7:$B$36,COLUMNS($D36:AA36)))</f>
        <v/>
      </c>
      <c r="AB36" s="95" t="str" cm="1">
        <f t="array" ref="AB36">IF(OR($A36="",COLUMNS($D36:AB36)&gt;Beheer!$C$4),"",N(INDEX(Dashboard!$C$2:$AF$61,MATCH(LARGE(Dashboard!$AI$2:$AI$61,$A36),Dashboard!$AI$2:$AI$61,0),COLUMNS($D36:AB36)))&amp;"/"&amp;INDEX(Beheer!$B$7:$B$36,COLUMNS($D36:AB36)))</f>
        <v/>
      </c>
      <c r="AC36" s="95" t="str" cm="1">
        <f t="array" ref="AC36">IF(OR($A36="",COLUMNS($D36:AC36)&gt;Beheer!$C$4),"",N(INDEX(Dashboard!$C$2:$AF$61,MATCH(LARGE(Dashboard!$AI$2:$AI$61,$A36),Dashboard!$AI$2:$AI$61,0),COLUMNS($D36:AC36)))&amp;"/"&amp;INDEX(Beheer!$B$7:$B$36,COLUMNS($D36:AC36)))</f>
        <v/>
      </c>
      <c r="AD36" s="95" t="str" cm="1">
        <f t="array" ref="AD36">IF(OR($A36="",COLUMNS($D36:AD36)&gt;Beheer!$C$4),"",N(INDEX(Dashboard!$C$2:$AF$61,MATCH(LARGE(Dashboard!$AI$2:$AI$61,$A36),Dashboard!$AI$2:$AI$61,0),COLUMNS($D36:AD36)))&amp;"/"&amp;INDEX(Beheer!$B$7:$B$36,COLUMNS($D36:AD36)))</f>
        <v/>
      </c>
      <c r="AE36" s="95" t="str" cm="1">
        <f t="array" ref="AE36">IF(OR($A36="",COLUMNS($D36:AE36)&gt;Beheer!$C$4),"",N(INDEX(Dashboard!$C$2:$AF$61,MATCH(LARGE(Dashboard!$AI$2:$AI$61,$A36),Dashboard!$AI$2:$AI$61,0),COLUMNS($D36:AE36)))&amp;"/"&amp;INDEX(Beheer!$B$7:$B$36,COLUMNS($D36:AE36)))</f>
        <v/>
      </c>
      <c r="AF36" s="95" t="str" cm="1">
        <f t="array" ref="AF36">IF(OR($A36="",COLUMNS($D36:AF36)&gt;Beheer!$C$4),"",N(INDEX(Dashboard!$C$2:$AF$61,MATCH(LARGE(Dashboard!$AI$2:$AI$61,$A36),Dashboard!$AI$2:$AI$61,0),COLUMNS($D36:AF36)))&amp;"/"&amp;INDEX(Beheer!$B$7:$B$36,COLUMNS($D36:AF36)))</f>
        <v/>
      </c>
      <c r="AG36" s="95" t="str" cm="1">
        <f t="array" ref="AG36">IF(OR($A36="",COLUMNS($D36:AG36)&gt;Beheer!$C$4),"",N(INDEX(Dashboard!$C$2:$AF$61,MATCH(LARGE(Dashboard!$AI$2:$AI$61,$A36),Dashboard!$AI$2:$AI$61,0),COLUMNS($D36:AG36)))&amp;"/"&amp;INDEX(Beheer!$B$7:$B$36,COLUMNS($D36:AG36)))</f>
        <v/>
      </c>
    </row>
    <row r="37" spans="1:33" ht="24" customHeight="1" thickBot="1" x14ac:dyDescent="0.5">
      <c r="A37" s="98" t="str">
        <f>IF(ROWS($A$2:A37)&gt;COUNTA(Beheer!$F$7:$F$66),"",ROWS($A$2:A37))</f>
        <v/>
      </c>
      <c r="B37" s="101" t="str">
        <f>IF($A37="","",INDEX(Dashboard!$A$2:$A$61,MATCH(LARGE(Dashboard!$AI$2:$AI$61,$A37),Dashboard!$AI$2:$AI$61,0)))</f>
        <v/>
      </c>
      <c r="C37" s="96" t="str">
        <f>IF($A37="","",INDEX(Dashboard!$AG$2:$AG$61,MATCH(LARGE(Dashboard!$AI$2:$AI$61,$A37),Dashboard!$AI$2:$AI$61,0))&amp;" / "&amp;INDEX(Dashboard!$AH$2:$AH$61,MATCH(LARGE(Dashboard!$AI$2:$AI$61,$A37),Dashboard!$AI$2:$AI$61,0)))</f>
        <v/>
      </c>
      <c r="D37" s="97" t="str" cm="1">
        <f t="array" ref="D37">IF(OR($A37="",COLUMNS($D37:D37)&gt;Beheer!$C$4),"",N(INDEX(Dashboard!$C$2:$AF$61,MATCH(LARGE(Dashboard!$AI$2:$AI$61,$A37),Dashboard!$AI$2:$AI$61,0),COLUMNS($D37:D37)))&amp;"/"&amp;INDEX(Beheer!$B$7:$B$36,COLUMNS($D37:D37)))</f>
        <v/>
      </c>
      <c r="E37" s="97" t="str" cm="1">
        <f t="array" ref="E37">IF(OR($A37="",COLUMNS($D37:E37)&gt;Beheer!$C$4),"",N(INDEX(Dashboard!$C$2:$AF$61,MATCH(LARGE(Dashboard!$AI$2:$AI$61,$A37),Dashboard!$AI$2:$AI$61,0),COLUMNS($D37:E37)))&amp;"/"&amp;INDEX(Beheer!$B$7:$B$36,COLUMNS($D37:E37)))</f>
        <v/>
      </c>
      <c r="F37" s="97" t="str" cm="1">
        <f t="array" ref="F37">IF(OR($A37="",COLUMNS($D37:F37)&gt;Beheer!$C$4),"",N(INDEX(Dashboard!$C$2:$AF$61,MATCH(LARGE(Dashboard!$AI$2:$AI$61,$A37),Dashboard!$AI$2:$AI$61,0),COLUMNS($D37:F37)))&amp;"/"&amp;INDEX(Beheer!$B$7:$B$36,COLUMNS($D37:F37)))</f>
        <v/>
      </c>
      <c r="G37" s="97" t="str" cm="1">
        <f t="array" ref="G37">IF(OR($A37="",COLUMNS($D37:G37)&gt;Beheer!$C$4),"",N(INDEX(Dashboard!$C$2:$AF$61,MATCH(LARGE(Dashboard!$AI$2:$AI$61,$A37),Dashboard!$AI$2:$AI$61,0),COLUMNS($D37:G37)))&amp;"/"&amp;INDEX(Beheer!$B$7:$B$36,COLUMNS($D37:G37)))</f>
        <v/>
      </c>
      <c r="H37" s="97" t="str" cm="1">
        <f t="array" ref="H37">IF(OR($A37="",COLUMNS($D37:H37)&gt;Beheer!$C$4),"",N(INDEX(Dashboard!$C$2:$AF$61,MATCH(LARGE(Dashboard!$AI$2:$AI$61,$A37),Dashboard!$AI$2:$AI$61,0),COLUMNS($D37:H37)))&amp;"/"&amp;INDEX(Beheer!$B$7:$B$36,COLUMNS($D37:H37)))</f>
        <v/>
      </c>
      <c r="I37" s="97" t="str" cm="1">
        <f t="array" ref="I37">IF(OR($A37="",COLUMNS($D37:I37)&gt;Beheer!$C$4),"",N(INDEX(Dashboard!$C$2:$AF$61,MATCH(LARGE(Dashboard!$AI$2:$AI$61,$A37),Dashboard!$AI$2:$AI$61,0),COLUMNS($D37:I37)))&amp;"/"&amp;INDEX(Beheer!$B$7:$B$36,COLUMNS($D37:I37)))</f>
        <v/>
      </c>
      <c r="J37" s="97" t="str" cm="1">
        <f t="array" ref="J37">IF(OR($A37="",COLUMNS($D37:J37)&gt;Beheer!$C$4),"",N(INDEX(Dashboard!$C$2:$AF$61,MATCH(LARGE(Dashboard!$AI$2:$AI$61,$A37),Dashboard!$AI$2:$AI$61,0),COLUMNS($D37:J37)))&amp;"/"&amp;INDEX(Beheer!$B$7:$B$36,COLUMNS($D37:J37)))</f>
        <v/>
      </c>
      <c r="K37" s="97" t="str" cm="1">
        <f t="array" ref="K37">IF(OR($A37="",COLUMNS($D37:K37)&gt;Beheer!$C$4),"",N(INDEX(Dashboard!$C$2:$AF$61,MATCH(LARGE(Dashboard!$AI$2:$AI$61,$A37),Dashboard!$AI$2:$AI$61,0),COLUMNS($D37:K37)))&amp;"/"&amp;INDEX(Beheer!$B$7:$B$36,COLUMNS($D37:K37)))</f>
        <v/>
      </c>
      <c r="L37" s="97" t="str" cm="1">
        <f t="array" ref="L37">IF(OR($A37="",COLUMNS($D37:L37)&gt;Beheer!$C$4),"",N(INDEX(Dashboard!$C$2:$AF$61,MATCH(LARGE(Dashboard!$AI$2:$AI$61,$A37),Dashboard!$AI$2:$AI$61,0),COLUMNS($D37:L37)))&amp;"/"&amp;INDEX(Beheer!$B$7:$B$36,COLUMNS($D37:L37)))</f>
        <v/>
      </c>
      <c r="M37" s="97" t="str" cm="1">
        <f t="array" ref="M37">IF(OR($A37="",COLUMNS($D37:M37)&gt;Beheer!$C$4),"",N(INDEX(Dashboard!$C$2:$AF$61,MATCH(LARGE(Dashboard!$AI$2:$AI$61,$A37),Dashboard!$AI$2:$AI$61,0),COLUMNS($D37:M37)))&amp;"/"&amp;INDEX(Beheer!$B$7:$B$36,COLUMNS($D37:M37)))</f>
        <v/>
      </c>
      <c r="N37" s="97" t="str" cm="1">
        <f t="array" ref="N37">IF(OR($A37="",COLUMNS($D37:N37)&gt;Beheer!$C$4),"",N(INDEX(Dashboard!$C$2:$AF$61,MATCH(LARGE(Dashboard!$AI$2:$AI$61,$A37),Dashboard!$AI$2:$AI$61,0),COLUMNS($D37:N37)))&amp;"/"&amp;INDEX(Beheer!$B$7:$B$36,COLUMNS($D37:N37)))</f>
        <v/>
      </c>
      <c r="O37" s="97" t="str" cm="1">
        <f t="array" ref="O37">IF(OR($A37="",COLUMNS($D37:O37)&gt;Beheer!$C$4),"",N(INDEX(Dashboard!$C$2:$AF$61,MATCH(LARGE(Dashboard!$AI$2:$AI$61,$A37),Dashboard!$AI$2:$AI$61,0),COLUMNS($D37:O37)))&amp;"/"&amp;INDEX(Beheer!$B$7:$B$36,COLUMNS($D37:O37)))</f>
        <v/>
      </c>
      <c r="P37" s="97" t="str" cm="1">
        <f t="array" ref="P37">IF(OR($A37="",COLUMNS($D37:P37)&gt;Beheer!$C$4),"",N(INDEX(Dashboard!$C$2:$AF$61,MATCH(LARGE(Dashboard!$AI$2:$AI$61,$A37),Dashboard!$AI$2:$AI$61,0),COLUMNS($D37:P37)))&amp;"/"&amp;INDEX(Beheer!$B$7:$B$36,COLUMNS($D37:P37)))</f>
        <v/>
      </c>
      <c r="Q37" s="97" t="str" cm="1">
        <f t="array" ref="Q37">IF(OR($A37="",COLUMNS($D37:Q37)&gt;Beheer!$C$4),"",N(INDEX(Dashboard!$C$2:$AF$61,MATCH(LARGE(Dashboard!$AI$2:$AI$61,$A37),Dashboard!$AI$2:$AI$61,0),COLUMNS($D37:Q37)))&amp;"/"&amp;INDEX(Beheer!$B$7:$B$36,COLUMNS($D37:Q37)))</f>
        <v/>
      </c>
      <c r="R37" s="97" t="str" cm="1">
        <f t="array" ref="R37">IF(OR($A37="",COLUMNS($D37:R37)&gt;Beheer!$C$4),"",N(INDEX(Dashboard!$C$2:$AF$61,MATCH(LARGE(Dashboard!$AI$2:$AI$61,$A37),Dashboard!$AI$2:$AI$61,0),COLUMNS($D37:R37)))&amp;"/"&amp;INDEX(Beheer!$B$7:$B$36,COLUMNS($D37:R37)))</f>
        <v/>
      </c>
      <c r="S37" s="97" t="str" cm="1">
        <f t="array" ref="S37">IF(OR($A37="",COLUMNS($D37:S37)&gt;Beheer!$C$4),"",N(INDEX(Dashboard!$C$2:$AF$61,MATCH(LARGE(Dashboard!$AI$2:$AI$61,$A37),Dashboard!$AI$2:$AI$61,0),COLUMNS($D37:S37)))&amp;"/"&amp;INDEX(Beheer!$B$7:$B$36,COLUMNS($D37:S37)))</f>
        <v/>
      </c>
      <c r="T37" s="97" t="str" cm="1">
        <f t="array" ref="T37">IF(OR($A37="",COLUMNS($D37:T37)&gt;Beheer!$C$4),"",N(INDEX(Dashboard!$C$2:$AF$61,MATCH(LARGE(Dashboard!$AI$2:$AI$61,$A37),Dashboard!$AI$2:$AI$61,0),COLUMNS($D37:T37)))&amp;"/"&amp;INDEX(Beheer!$B$7:$B$36,COLUMNS($D37:T37)))</f>
        <v/>
      </c>
      <c r="U37" s="97" t="str" cm="1">
        <f t="array" ref="U37">IF(OR($A37="",COLUMNS($D37:U37)&gt;Beheer!$C$4),"",N(INDEX(Dashboard!$C$2:$AF$61,MATCH(LARGE(Dashboard!$AI$2:$AI$61,$A37),Dashboard!$AI$2:$AI$61,0),COLUMNS($D37:U37)))&amp;"/"&amp;INDEX(Beheer!$B$7:$B$36,COLUMNS($D37:U37)))</f>
        <v/>
      </c>
      <c r="V37" s="97" t="str" cm="1">
        <f t="array" ref="V37">IF(OR($A37="",COLUMNS($D37:V37)&gt;Beheer!$C$4),"",N(INDEX(Dashboard!$C$2:$AF$61,MATCH(LARGE(Dashboard!$AI$2:$AI$61,$A37),Dashboard!$AI$2:$AI$61,0),COLUMNS($D37:V37)))&amp;"/"&amp;INDEX(Beheer!$B$7:$B$36,COLUMNS($D37:V37)))</f>
        <v/>
      </c>
      <c r="W37" s="97" t="str" cm="1">
        <f t="array" ref="W37">IF(OR($A37="",COLUMNS($D37:W37)&gt;Beheer!$C$4),"",N(INDEX(Dashboard!$C$2:$AF$61,MATCH(LARGE(Dashboard!$AI$2:$AI$61,$A37),Dashboard!$AI$2:$AI$61,0),COLUMNS($D37:W37)))&amp;"/"&amp;INDEX(Beheer!$B$7:$B$36,COLUMNS($D37:W37)))</f>
        <v/>
      </c>
      <c r="X37" s="97" t="str" cm="1">
        <f t="array" ref="X37">IF(OR($A37="",COLUMNS($D37:X37)&gt;Beheer!$C$4),"",N(INDEX(Dashboard!$C$2:$AF$61,MATCH(LARGE(Dashboard!$AI$2:$AI$61,$A37),Dashboard!$AI$2:$AI$61,0),COLUMNS($D37:X37)))&amp;"/"&amp;INDEX(Beheer!$B$7:$B$36,COLUMNS($D37:X37)))</f>
        <v/>
      </c>
      <c r="Y37" s="97" t="str" cm="1">
        <f t="array" ref="Y37">IF(OR($A37="",COLUMNS($D37:Y37)&gt;Beheer!$C$4),"",N(INDEX(Dashboard!$C$2:$AF$61,MATCH(LARGE(Dashboard!$AI$2:$AI$61,$A37),Dashboard!$AI$2:$AI$61,0),COLUMNS($D37:Y37)))&amp;"/"&amp;INDEX(Beheer!$B$7:$B$36,COLUMNS($D37:Y37)))</f>
        <v/>
      </c>
      <c r="Z37" s="97" t="str" cm="1">
        <f t="array" ref="Z37">IF(OR($A37="",COLUMNS($D37:Z37)&gt;Beheer!$C$4),"",N(INDEX(Dashboard!$C$2:$AF$61,MATCH(LARGE(Dashboard!$AI$2:$AI$61,$A37),Dashboard!$AI$2:$AI$61,0),COLUMNS($D37:Z37)))&amp;"/"&amp;INDEX(Beheer!$B$7:$B$36,COLUMNS($D37:Z37)))</f>
        <v/>
      </c>
      <c r="AA37" s="97" t="str" cm="1">
        <f t="array" ref="AA37">IF(OR($A37="",COLUMNS($D37:AA37)&gt;Beheer!$C$4),"",N(INDEX(Dashboard!$C$2:$AF$61,MATCH(LARGE(Dashboard!$AI$2:$AI$61,$A37),Dashboard!$AI$2:$AI$61,0),COLUMNS($D37:AA37)))&amp;"/"&amp;INDEX(Beheer!$B$7:$B$36,COLUMNS($D37:AA37)))</f>
        <v/>
      </c>
      <c r="AB37" s="97" t="str" cm="1">
        <f t="array" ref="AB37">IF(OR($A37="",COLUMNS($D37:AB37)&gt;Beheer!$C$4),"",N(INDEX(Dashboard!$C$2:$AF$61,MATCH(LARGE(Dashboard!$AI$2:$AI$61,$A37),Dashboard!$AI$2:$AI$61,0),COLUMNS($D37:AB37)))&amp;"/"&amp;INDEX(Beheer!$B$7:$B$36,COLUMNS($D37:AB37)))</f>
        <v/>
      </c>
      <c r="AC37" s="97" t="str" cm="1">
        <f t="array" ref="AC37">IF(OR($A37="",COLUMNS($D37:AC37)&gt;Beheer!$C$4),"",N(INDEX(Dashboard!$C$2:$AF$61,MATCH(LARGE(Dashboard!$AI$2:$AI$61,$A37),Dashboard!$AI$2:$AI$61,0),COLUMNS($D37:AC37)))&amp;"/"&amp;INDEX(Beheer!$B$7:$B$36,COLUMNS($D37:AC37)))</f>
        <v/>
      </c>
      <c r="AD37" s="97" t="str" cm="1">
        <f t="array" ref="AD37">IF(OR($A37="",COLUMNS($D37:AD37)&gt;Beheer!$C$4),"",N(INDEX(Dashboard!$C$2:$AF$61,MATCH(LARGE(Dashboard!$AI$2:$AI$61,$A37),Dashboard!$AI$2:$AI$61,0),COLUMNS($D37:AD37)))&amp;"/"&amp;INDEX(Beheer!$B$7:$B$36,COLUMNS($D37:AD37)))</f>
        <v/>
      </c>
      <c r="AE37" s="97" t="str" cm="1">
        <f t="array" ref="AE37">IF(OR($A37="",COLUMNS($D37:AE37)&gt;Beheer!$C$4),"",N(INDEX(Dashboard!$C$2:$AF$61,MATCH(LARGE(Dashboard!$AI$2:$AI$61,$A37),Dashboard!$AI$2:$AI$61,0),COLUMNS($D37:AE37)))&amp;"/"&amp;INDEX(Beheer!$B$7:$B$36,COLUMNS($D37:AE37)))</f>
        <v/>
      </c>
      <c r="AF37" s="97" t="str" cm="1">
        <f t="array" ref="AF37">IF(OR($A37="",COLUMNS($D37:AF37)&gt;Beheer!$C$4),"",N(INDEX(Dashboard!$C$2:$AF$61,MATCH(LARGE(Dashboard!$AI$2:$AI$61,$A37),Dashboard!$AI$2:$AI$61,0),COLUMNS($D37:AF37)))&amp;"/"&amp;INDEX(Beheer!$B$7:$B$36,COLUMNS($D37:AF37)))</f>
        <v/>
      </c>
      <c r="AG37" s="97" t="str" cm="1">
        <f t="array" ref="AG37">IF(OR($A37="",COLUMNS($D37:AG37)&gt;Beheer!$C$4),"",N(INDEX(Dashboard!$C$2:$AF$61,MATCH(LARGE(Dashboard!$AI$2:$AI$61,$A37),Dashboard!$AI$2:$AI$61,0),COLUMNS($D37:AG37)))&amp;"/"&amp;INDEX(Beheer!$B$7:$B$36,COLUMNS($D37:AG37)))</f>
        <v/>
      </c>
    </row>
    <row r="38" spans="1:33" ht="24" customHeight="1" thickBot="1" x14ac:dyDescent="0.5">
      <c r="A38" s="99" t="str">
        <f>IF(ROWS($A$2:A38)&gt;COUNTA(Beheer!$F$7:$F$66),"",ROWS($A$2:A38))</f>
        <v/>
      </c>
      <c r="B38" s="102" t="str">
        <f>IF($A38="","",INDEX(Dashboard!$A$2:$A$61,MATCH(LARGE(Dashboard!$AI$2:$AI$61,$A38),Dashboard!$AI$2:$AI$61,0)))</f>
        <v/>
      </c>
      <c r="C38" s="94" t="str">
        <f>IF($A38="","",INDEX(Dashboard!$AG$2:$AG$61,MATCH(LARGE(Dashboard!$AI$2:$AI$61,$A38),Dashboard!$AI$2:$AI$61,0))&amp;" / "&amp;INDEX(Dashboard!$AH$2:$AH$61,MATCH(LARGE(Dashboard!$AI$2:$AI$61,$A38),Dashboard!$AI$2:$AI$61,0)))</f>
        <v/>
      </c>
      <c r="D38" s="95" t="str" cm="1">
        <f t="array" ref="D38">IF(OR($A38="",COLUMNS($D38:D38)&gt;Beheer!$C$4),"",N(INDEX(Dashboard!$C$2:$AF$61,MATCH(LARGE(Dashboard!$AI$2:$AI$61,$A38),Dashboard!$AI$2:$AI$61,0),COLUMNS($D38:D38)))&amp;"/"&amp;INDEX(Beheer!$B$7:$B$36,COLUMNS($D38:D38)))</f>
        <v/>
      </c>
      <c r="E38" s="95" t="str" cm="1">
        <f t="array" ref="E38">IF(OR($A38="",COLUMNS($D38:E38)&gt;Beheer!$C$4),"",N(INDEX(Dashboard!$C$2:$AF$61,MATCH(LARGE(Dashboard!$AI$2:$AI$61,$A38),Dashboard!$AI$2:$AI$61,0),COLUMNS($D38:E38)))&amp;"/"&amp;INDEX(Beheer!$B$7:$B$36,COLUMNS($D38:E38)))</f>
        <v/>
      </c>
      <c r="F38" s="95" t="str" cm="1">
        <f t="array" ref="F38">IF(OR($A38="",COLUMNS($D38:F38)&gt;Beheer!$C$4),"",N(INDEX(Dashboard!$C$2:$AF$61,MATCH(LARGE(Dashboard!$AI$2:$AI$61,$A38),Dashboard!$AI$2:$AI$61,0),COLUMNS($D38:F38)))&amp;"/"&amp;INDEX(Beheer!$B$7:$B$36,COLUMNS($D38:F38)))</f>
        <v/>
      </c>
      <c r="G38" s="95" t="str" cm="1">
        <f t="array" ref="G38">IF(OR($A38="",COLUMNS($D38:G38)&gt;Beheer!$C$4),"",N(INDEX(Dashboard!$C$2:$AF$61,MATCH(LARGE(Dashboard!$AI$2:$AI$61,$A38),Dashboard!$AI$2:$AI$61,0),COLUMNS($D38:G38)))&amp;"/"&amp;INDEX(Beheer!$B$7:$B$36,COLUMNS($D38:G38)))</f>
        <v/>
      </c>
      <c r="H38" s="95" t="str" cm="1">
        <f t="array" ref="H38">IF(OR($A38="",COLUMNS($D38:H38)&gt;Beheer!$C$4),"",N(INDEX(Dashboard!$C$2:$AF$61,MATCH(LARGE(Dashboard!$AI$2:$AI$61,$A38),Dashboard!$AI$2:$AI$61,0),COLUMNS($D38:H38)))&amp;"/"&amp;INDEX(Beheer!$B$7:$B$36,COLUMNS($D38:H38)))</f>
        <v/>
      </c>
      <c r="I38" s="95" t="str" cm="1">
        <f t="array" ref="I38">IF(OR($A38="",COLUMNS($D38:I38)&gt;Beheer!$C$4),"",N(INDEX(Dashboard!$C$2:$AF$61,MATCH(LARGE(Dashboard!$AI$2:$AI$61,$A38),Dashboard!$AI$2:$AI$61,0),COLUMNS($D38:I38)))&amp;"/"&amp;INDEX(Beheer!$B$7:$B$36,COLUMNS($D38:I38)))</f>
        <v/>
      </c>
      <c r="J38" s="95" t="str" cm="1">
        <f t="array" ref="J38">IF(OR($A38="",COLUMNS($D38:J38)&gt;Beheer!$C$4),"",N(INDEX(Dashboard!$C$2:$AF$61,MATCH(LARGE(Dashboard!$AI$2:$AI$61,$A38),Dashboard!$AI$2:$AI$61,0),COLUMNS($D38:J38)))&amp;"/"&amp;INDEX(Beheer!$B$7:$B$36,COLUMNS($D38:J38)))</f>
        <v/>
      </c>
      <c r="K38" s="95" t="str" cm="1">
        <f t="array" ref="K38">IF(OR($A38="",COLUMNS($D38:K38)&gt;Beheer!$C$4),"",N(INDEX(Dashboard!$C$2:$AF$61,MATCH(LARGE(Dashboard!$AI$2:$AI$61,$A38),Dashboard!$AI$2:$AI$61,0),COLUMNS($D38:K38)))&amp;"/"&amp;INDEX(Beheer!$B$7:$B$36,COLUMNS($D38:K38)))</f>
        <v/>
      </c>
      <c r="L38" s="95" t="str" cm="1">
        <f t="array" ref="L38">IF(OR($A38="",COLUMNS($D38:L38)&gt;Beheer!$C$4),"",N(INDEX(Dashboard!$C$2:$AF$61,MATCH(LARGE(Dashboard!$AI$2:$AI$61,$A38),Dashboard!$AI$2:$AI$61,0),COLUMNS($D38:L38)))&amp;"/"&amp;INDEX(Beheer!$B$7:$B$36,COLUMNS($D38:L38)))</f>
        <v/>
      </c>
      <c r="M38" s="95" t="str" cm="1">
        <f t="array" ref="M38">IF(OR($A38="",COLUMNS($D38:M38)&gt;Beheer!$C$4),"",N(INDEX(Dashboard!$C$2:$AF$61,MATCH(LARGE(Dashboard!$AI$2:$AI$61,$A38),Dashboard!$AI$2:$AI$61,0),COLUMNS($D38:M38)))&amp;"/"&amp;INDEX(Beheer!$B$7:$B$36,COLUMNS($D38:M38)))</f>
        <v/>
      </c>
      <c r="N38" s="95" t="str" cm="1">
        <f t="array" ref="N38">IF(OR($A38="",COLUMNS($D38:N38)&gt;Beheer!$C$4),"",N(INDEX(Dashboard!$C$2:$AF$61,MATCH(LARGE(Dashboard!$AI$2:$AI$61,$A38),Dashboard!$AI$2:$AI$61,0),COLUMNS($D38:N38)))&amp;"/"&amp;INDEX(Beheer!$B$7:$B$36,COLUMNS($D38:N38)))</f>
        <v/>
      </c>
      <c r="O38" s="95" t="str" cm="1">
        <f t="array" ref="O38">IF(OR($A38="",COLUMNS($D38:O38)&gt;Beheer!$C$4),"",N(INDEX(Dashboard!$C$2:$AF$61,MATCH(LARGE(Dashboard!$AI$2:$AI$61,$A38),Dashboard!$AI$2:$AI$61,0),COLUMNS($D38:O38)))&amp;"/"&amp;INDEX(Beheer!$B$7:$B$36,COLUMNS($D38:O38)))</f>
        <v/>
      </c>
      <c r="P38" s="95" t="str" cm="1">
        <f t="array" ref="P38">IF(OR($A38="",COLUMNS($D38:P38)&gt;Beheer!$C$4),"",N(INDEX(Dashboard!$C$2:$AF$61,MATCH(LARGE(Dashboard!$AI$2:$AI$61,$A38),Dashboard!$AI$2:$AI$61,0),COLUMNS($D38:P38)))&amp;"/"&amp;INDEX(Beheer!$B$7:$B$36,COLUMNS($D38:P38)))</f>
        <v/>
      </c>
      <c r="Q38" s="95" t="str" cm="1">
        <f t="array" ref="Q38">IF(OR($A38="",COLUMNS($D38:Q38)&gt;Beheer!$C$4),"",N(INDEX(Dashboard!$C$2:$AF$61,MATCH(LARGE(Dashboard!$AI$2:$AI$61,$A38),Dashboard!$AI$2:$AI$61,0),COLUMNS($D38:Q38)))&amp;"/"&amp;INDEX(Beheer!$B$7:$B$36,COLUMNS($D38:Q38)))</f>
        <v/>
      </c>
      <c r="R38" s="95" t="str" cm="1">
        <f t="array" ref="R38">IF(OR($A38="",COLUMNS($D38:R38)&gt;Beheer!$C$4),"",N(INDEX(Dashboard!$C$2:$AF$61,MATCH(LARGE(Dashboard!$AI$2:$AI$61,$A38),Dashboard!$AI$2:$AI$61,0),COLUMNS($D38:R38)))&amp;"/"&amp;INDEX(Beheer!$B$7:$B$36,COLUMNS($D38:R38)))</f>
        <v/>
      </c>
      <c r="S38" s="95" t="str" cm="1">
        <f t="array" ref="S38">IF(OR($A38="",COLUMNS($D38:S38)&gt;Beheer!$C$4),"",N(INDEX(Dashboard!$C$2:$AF$61,MATCH(LARGE(Dashboard!$AI$2:$AI$61,$A38),Dashboard!$AI$2:$AI$61,0),COLUMNS($D38:S38)))&amp;"/"&amp;INDEX(Beheer!$B$7:$B$36,COLUMNS($D38:S38)))</f>
        <v/>
      </c>
      <c r="T38" s="95" t="str" cm="1">
        <f t="array" ref="T38">IF(OR($A38="",COLUMNS($D38:T38)&gt;Beheer!$C$4),"",N(INDEX(Dashboard!$C$2:$AF$61,MATCH(LARGE(Dashboard!$AI$2:$AI$61,$A38),Dashboard!$AI$2:$AI$61,0),COLUMNS($D38:T38)))&amp;"/"&amp;INDEX(Beheer!$B$7:$B$36,COLUMNS($D38:T38)))</f>
        <v/>
      </c>
      <c r="U38" s="95" t="str" cm="1">
        <f t="array" ref="U38">IF(OR($A38="",COLUMNS($D38:U38)&gt;Beheer!$C$4),"",N(INDEX(Dashboard!$C$2:$AF$61,MATCH(LARGE(Dashboard!$AI$2:$AI$61,$A38),Dashboard!$AI$2:$AI$61,0),COLUMNS($D38:U38)))&amp;"/"&amp;INDEX(Beheer!$B$7:$B$36,COLUMNS($D38:U38)))</f>
        <v/>
      </c>
      <c r="V38" s="95" t="str" cm="1">
        <f t="array" ref="V38">IF(OR($A38="",COLUMNS($D38:V38)&gt;Beheer!$C$4),"",N(INDEX(Dashboard!$C$2:$AF$61,MATCH(LARGE(Dashboard!$AI$2:$AI$61,$A38),Dashboard!$AI$2:$AI$61,0),COLUMNS($D38:V38)))&amp;"/"&amp;INDEX(Beheer!$B$7:$B$36,COLUMNS($D38:V38)))</f>
        <v/>
      </c>
      <c r="W38" s="95" t="str" cm="1">
        <f t="array" ref="W38">IF(OR($A38="",COLUMNS($D38:W38)&gt;Beheer!$C$4),"",N(INDEX(Dashboard!$C$2:$AF$61,MATCH(LARGE(Dashboard!$AI$2:$AI$61,$A38),Dashboard!$AI$2:$AI$61,0),COLUMNS($D38:W38)))&amp;"/"&amp;INDEX(Beheer!$B$7:$B$36,COLUMNS($D38:W38)))</f>
        <v/>
      </c>
      <c r="X38" s="95" t="str" cm="1">
        <f t="array" ref="X38">IF(OR($A38="",COLUMNS($D38:X38)&gt;Beheer!$C$4),"",N(INDEX(Dashboard!$C$2:$AF$61,MATCH(LARGE(Dashboard!$AI$2:$AI$61,$A38),Dashboard!$AI$2:$AI$61,0),COLUMNS($D38:X38)))&amp;"/"&amp;INDEX(Beheer!$B$7:$B$36,COLUMNS($D38:X38)))</f>
        <v/>
      </c>
      <c r="Y38" s="95" t="str" cm="1">
        <f t="array" ref="Y38">IF(OR($A38="",COLUMNS($D38:Y38)&gt;Beheer!$C$4),"",N(INDEX(Dashboard!$C$2:$AF$61,MATCH(LARGE(Dashboard!$AI$2:$AI$61,$A38),Dashboard!$AI$2:$AI$61,0),COLUMNS($D38:Y38)))&amp;"/"&amp;INDEX(Beheer!$B$7:$B$36,COLUMNS($D38:Y38)))</f>
        <v/>
      </c>
      <c r="Z38" s="95" t="str" cm="1">
        <f t="array" ref="Z38">IF(OR($A38="",COLUMNS($D38:Z38)&gt;Beheer!$C$4),"",N(INDEX(Dashboard!$C$2:$AF$61,MATCH(LARGE(Dashboard!$AI$2:$AI$61,$A38),Dashboard!$AI$2:$AI$61,0),COLUMNS($D38:Z38)))&amp;"/"&amp;INDEX(Beheer!$B$7:$B$36,COLUMNS($D38:Z38)))</f>
        <v/>
      </c>
      <c r="AA38" s="95" t="str" cm="1">
        <f t="array" ref="AA38">IF(OR($A38="",COLUMNS($D38:AA38)&gt;Beheer!$C$4),"",N(INDEX(Dashboard!$C$2:$AF$61,MATCH(LARGE(Dashboard!$AI$2:$AI$61,$A38),Dashboard!$AI$2:$AI$61,0),COLUMNS($D38:AA38)))&amp;"/"&amp;INDEX(Beheer!$B$7:$B$36,COLUMNS($D38:AA38)))</f>
        <v/>
      </c>
      <c r="AB38" s="95" t="str" cm="1">
        <f t="array" ref="AB38">IF(OR($A38="",COLUMNS($D38:AB38)&gt;Beheer!$C$4),"",N(INDEX(Dashboard!$C$2:$AF$61,MATCH(LARGE(Dashboard!$AI$2:$AI$61,$A38),Dashboard!$AI$2:$AI$61,0),COLUMNS($D38:AB38)))&amp;"/"&amp;INDEX(Beheer!$B$7:$B$36,COLUMNS($D38:AB38)))</f>
        <v/>
      </c>
      <c r="AC38" s="95" t="str" cm="1">
        <f t="array" ref="AC38">IF(OR($A38="",COLUMNS($D38:AC38)&gt;Beheer!$C$4),"",N(INDEX(Dashboard!$C$2:$AF$61,MATCH(LARGE(Dashboard!$AI$2:$AI$61,$A38),Dashboard!$AI$2:$AI$61,0),COLUMNS($D38:AC38)))&amp;"/"&amp;INDEX(Beheer!$B$7:$B$36,COLUMNS($D38:AC38)))</f>
        <v/>
      </c>
      <c r="AD38" s="95" t="str" cm="1">
        <f t="array" ref="AD38">IF(OR($A38="",COLUMNS($D38:AD38)&gt;Beheer!$C$4),"",N(INDEX(Dashboard!$C$2:$AF$61,MATCH(LARGE(Dashboard!$AI$2:$AI$61,$A38),Dashboard!$AI$2:$AI$61,0),COLUMNS($D38:AD38)))&amp;"/"&amp;INDEX(Beheer!$B$7:$B$36,COLUMNS($D38:AD38)))</f>
        <v/>
      </c>
      <c r="AE38" s="95" t="str" cm="1">
        <f t="array" ref="AE38">IF(OR($A38="",COLUMNS($D38:AE38)&gt;Beheer!$C$4),"",N(INDEX(Dashboard!$C$2:$AF$61,MATCH(LARGE(Dashboard!$AI$2:$AI$61,$A38),Dashboard!$AI$2:$AI$61,0),COLUMNS($D38:AE38)))&amp;"/"&amp;INDEX(Beheer!$B$7:$B$36,COLUMNS($D38:AE38)))</f>
        <v/>
      </c>
      <c r="AF38" s="95" t="str" cm="1">
        <f t="array" ref="AF38">IF(OR($A38="",COLUMNS($D38:AF38)&gt;Beheer!$C$4),"",N(INDEX(Dashboard!$C$2:$AF$61,MATCH(LARGE(Dashboard!$AI$2:$AI$61,$A38),Dashboard!$AI$2:$AI$61,0),COLUMNS($D38:AF38)))&amp;"/"&amp;INDEX(Beheer!$B$7:$B$36,COLUMNS($D38:AF38)))</f>
        <v/>
      </c>
      <c r="AG38" s="95" t="str" cm="1">
        <f t="array" ref="AG38">IF(OR($A38="",COLUMNS($D38:AG38)&gt;Beheer!$C$4),"",N(INDEX(Dashboard!$C$2:$AF$61,MATCH(LARGE(Dashboard!$AI$2:$AI$61,$A38),Dashboard!$AI$2:$AI$61,0),COLUMNS($D38:AG38)))&amp;"/"&amp;INDEX(Beheer!$B$7:$B$36,COLUMNS($D38:AG38)))</f>
        <v/>
      </c>
    </row>
    <row r="39" spans="1:33" ht="24" customHeight="1" thickBot="1" x14ac:dyDescent="0.5">
      <c r="A39" s="98" t="str">
        <f>IF(ROWS($A$2:A39)&gt;COUNTA(Beheer!$F$7:$F$66),"",ROWS($A$2:A39))</f>
        <v/>
      </c>
      <c r="B39" s="101" t="str">
        <f>IF($A39="","",INDEX(Dashboard!$A$2:$A$61,MATCH(LARGE(Dashboard!$AI$2:$AI$61,$A39),Dashboard!$AI$2:$AI$61,0)))</f>
        <v/>
      </c>
      <c r="C39" s="96" t="str">
        <f>IF($A39="","",INDEX(Dashboard!$AG$2:$AG$61,MATCH(LARGE(Dashboard!$AI$2:$AI$61,$A39),Dashboard!$AI$2:$AI$61,0))&amp;" / "&amp;INDEX(Dashboard!$AH$2:$AH$61,MATCH(LARGE(Dashboard!$AI$2:$AI$61,$A39),Dashboard!$AI$2:$AI$61,0)))</f>
        <v/>
      </c>
      <c r="D39" s="97" t="str" cm="1">
        <f t="array" ref="D39">IF(OR($A39="",COLUMNS($D39:D39)&gt;Beheer!$C$4),"",N(INDEX(Dashboard!$C$2:$AF$61,MATCH(LARGE(Dashboard!$AI$2:$AI$61,$A39),Dashboard!$AI$2:$AI$61,0),COLUMNS($D39:D39)))&amp;"/"&amp;INDEX(Beheer!$B$7:$B$36,COLUMNS($D39:D39)))</f>
        <v/>
      </c>
      <c r="E39" s="97" t="str" cm="1">
        <f t="array" ref="E39">IF(OR($A39="",COLUMNS($D39:E39)&gt;Beheer!$C$4),"",N(INDEX(Dashboard!$C$2:$AF$61,MATCH(LARGE(Dashboard!$AI$2:$AI$61,$A39),Dashboard!$AI$2:$AI$61,0),COLUMNS($D39:E39)))&amp;"/"&amp;INDEX(Beheer!$B$7:$B$36,COLUMNS($D39:E39)))</f>
        <v/>
      </c>
      <c r="F39" s="97" t="str" cm="1">
        <f t="array" ref="F39">IF(OR($A39="",COLUMNS($D39:F39)&gt;Beheer!$C$4),"",N(INDEX(Dashboard!$C$2:$AF$61,MATCH(LARGE(Dashboard!$AI$2:$AI$61,$A39),Dashboard!$AI$2:$AI$61,0),COLUMNS($D39:F39)))&amp;"/"&amp;INDEX(Beheer!$B$7:$B$36,COLUMNS($D39:F39)))</f>
        <v/>
      </c>
      <c r="G39" s="97" t="str" cm="1">
        <f t="array" ref="G39">IF(OR($A39="",COLUMNS($D39:G39)&gt;Beheer!$C$4),"",N(INDEX(Dashboard!$C$2:$AF$61,MATCH(LARGE(Dashboard!$AI$2:$AI$61,$A39),Dashboard!$AI$2:$AI$61,0),COLUMNS($D39:G39)))&amp;"/"&amp;INDEX(Beheer!$B$7:$B$36,COLUMNS($D39:G39)))</f>
        <v/>
      </c>
      <c r="H39" s="97" t="str" cm="1">
        <f t="array" ref="H39">IF(OR($A39="",COLUMNS($D39:H39)&gt;Beheer!$C$4),"",N(INDEX(Dashboard!$C$2:$AF$61,MATCH(LARGE(Dashboard!$AI$2:$AI$61,$A39),Dashboard!$AI$2:$AI$61,0),COLUMNS($D39:H39)))&amp;"/"&amp;INDEX(Beheer!$B$7:$B$36,COLUMNS($D39:H39)))</f>
        <v/>
      </c>
      <c r="I39" s="97" t="str" cm="1">
        <f t="array" ref="I39">IF(OR($A39="",COLUMNS($D39:I39)&gt;Beheer!$C$4),"",N(INDEX(Dashboard!$C$2:$AF$61,MATCH(LARGE(Dashboard!$AI$2:$AI$61,$A39),Dashboard!$AI$2:$AI$61,0),COLUMNS($D39:I39)))&amp;"/"&amp;INDEX(Beheer!$B$7:$B$36,COLUMNS($D39:I39)))</f>
        <v/>
      </c>
      <c r="J39" s="97" t="str" cm="1">
        <f t="array" ref="J39">IF(OR($A39="",COLUMNS($D39:J39)&gt;Beheer!$C$4),"",N(INDEX(Dashboard!$C$2:$AF$61,MATCH(LARGE(Dashboard!$AI$2:$AI$61,$A39),Dashboard!$AI$2:$AI$61,0),COLUMNS($D39:J39)))&amp;"/"&amp;INDEX(Beheer!$B$7:$B$36,COLUMNS($D39:J39)))</f>
        <v/>
      </c>
      <c r="K39" s="97" t="str" cm="1">
        <f t="array" ref="K39">IF(OR($A39="",COLUMNS($D39:K39)&gt;Beheer!$C$4),"",N(INDEX(Dashboard!$C$2:$AF$61,MATCH(LARGE(Dashboard!$AI$2:$AI$61,$A39),Dashboard!$AI$2:$AI$61,0),COLUMNS($D39:K39)))&amp;"/"&amp;INDEX(Beheer!$B$7:$B$36,COLUMNS($D39:K39)))</f>
        <v/>
      </c>
      <c r="L39" s="97" t="str" cm="1">
        <f t="array" ref="L39">IF(OR($A39="",COLUMNS($D39:L39)&gt;Beheer!$C$4),"",N(INDEX(Dashboard!$C$2:$AF$61,MATCH(LARGE(Dashboard!$AI$2:$AI$61,$A39),Dashboard!$AI$2:$AI$61,0),COLUMNS($D39:L39)))&amp;"/"&amp;INDEX(Beheer!$B$7:$B$36,COLUMNS($D39:L39)))</f>
        <v/>
      </c>
      <c r="M39" s="97" t="str" cm="1">
        <f t="array" ref="M39">IF(OR($A39="",COLUMNS($D39:M39)&gt;Beheer!$C$4),"",N(INDEX(Dashboard!$C$2:$AF$61,MATCH(LARGE(Dashboard!$AI$2:$AI$61,$A39),Dashboard!$AI$2:$AI$61,0),COLUMNS($D39:M39)))&amp;"/"&amp;INDEX(Beheer!$B$7:$B$36,COLUMNS($D39:M39)))</f>
        <v/>
      </c>
      <c r="N39" s="97" t="str" cm="1">
        <f t="array" ref="N39">IF(OR($A39="",COLUMNS($D39:N39)&gt;Beheer!$C$4),"",N(INDEX(Dashboard!$C$2:$AF$61,MATCH(LARGE(Dashboard!$AI$2:$AI$61,$A39),Dashboard!$AI$2:$AI$61,0),COLUMNS($D39:N39)))&amp;"/"&amp;INDEX(Beheer!$B$7:$B$36,COLUMNS($D39:N39)))</f>
        <v/>
      </c>
      <c r="O39" s="97" t="str" cm="1">
        <f t="array" ref="O39">IF(OR($A39="",COLUMNS($D39:O39)&gt;Beheer!$C$4),"",N(INDEX(Dashboard!$C$2:$AF$61,MATCH(LARGE(Dashboard!$AI$2:$AI$61,$A39),Dashboard!$AI$2:$AI$61,0),COLUMNS($D39:O39)))&amp;"/"&amp;INDEX(Beheer!$B$7:$B$36,COLUMNS($D39:O39)))</f>
        <v/>
      </c>
      <c r="P39" s="97" t="str" cm="1">
        <f t="array" ref="P39">IF(OR($A39="",COLUMNS($D39:P39)&gt;Beheer!$C$4),"",N(INDEX(Dashboard!$C$2:$AF$61,MATCH(LARGE(Dashboard!$AI$2:$AI$61,$A39),Dashboard!$AI$2:$AI$61,0),COLUMNS($D39:P39)))&amp;"/"&amp;INDEX(Beheer!$B$7:$B$36,COLUMNS($D39:P39)))</f>
        <v/>
      </c>
      <c r="Q39" s="97" t="str" cm="1">
        <f t="array" ref="Q39">IF(OR($A39="",COLUMNS($D39:Q39)&gt;Beheer!$C$4),"",N(INDEX(Dashboard!$C$2:$AF$61,MATCH(LARGE(Dashboard!$AI$2:$AI$61,$A39),Dashboard!$AI$2:$AI$61,0),COLUMNS($D39:Q39)))&amp;"/"&amp;INDEX(Beheer!$B$7:$B$36,COLUMNS($D39:Q39)))</f>
        <v/>
      </c>
      <c r="R39" s="97" t="str" cm="1">
        <f t="array" ref="R39">IF(OR($A39="",COLUMNS($D39:R39)&gt;Beheer!$C$4),"",N(INDEX(Dashboard!$C$2:$AF$61,MATCH(LARGE(Dashboard!$AI$2:$AI$61,$A39),Dashboard!$AI$2:$AI$61,0),COLUMNS($D39:R39)))&amp;"/"&amp;INDEX(Beheer!$B$7:$B$36,COLUMNS($D39:R39)))</f>
        <v/>
      </c>
      <c r="S39" s="97" t="str" cm="1">
        <f t="array" ref="S39">IF(OR($A39="",COLUMNS($D39:S39)&gt;Beheer!$C$4),"",N(INDEX(Dashboard!$C$2:$AF$61,MATCH(LARGE(Dashboard!$AI$2:$AI$61,$A39),Dashboard!$AI$2:$AI$61,0),COLUMNS($D39:S39)))&amp;"/"&amp;INDEX(Beheer!$B$7:$B$36,COLUMNS($D39:S39)))</f>
        <v/>
      </c>
      <c r="T39" s="97" t="str" cm="1">
        <f t="array" ref="T39">IF(OR($A39="",COLUMNS($D39:T39)&gt;Beheer!$C$4),"",N(INDEX(Dashboard!$C$2:$AF$61,MATCH(LARGE(Dashboard!$AI$2:$AI$61,$A39),Dashboard!$AI$2:$AI$61,0),COLUMNS($D39:T39)))&amp;"/"&amp;INDEX(Beheer!$B$7:$B$36,COLUMNS($D39:T39)))</f>
        <v/>
      </c>
      <c r="U39" s="97" t="str" cm="1">
        <f t="array" ref="U39">IF(OR($A39="",COLUMNS($D39:U39)&gt;Beheer!$C$4),"",N(INDEX(Dashboard!$C$2:$AF$61,MATCH(LARGE(Dashboard!$AI$2:$AI$61,$A39),Dashboard!$AI$2:$AI$61,0),COLUMNS($D39:U39)))&amp;"/"&amp;INDEX(Beheer!$B$7:$B$36,COLUMNS($D39:U39)))</f>
        <v/>
      </c>
      <c r="V39" s="97" t="str" cm="1">
        <f t="array" ref="V39">IF(OR($A39="",COLUMNS($D39:V39)&gt;Beheer!$C$4),"",N(INDEX(Dashboard!$C$2:$AF$61,MATCH(LARGE(Dashboard!$AI$2:$AI$61,$A39),Dashboard!$AI$2:$AI$61,0),COLUMNS($D39:V39)))&amp;"/"&amp;INDEX(Beheer!$B$7:$B$36,COLUMNS($D39:V39)))</f>
        <v/>
      </c>
      <c r="W39" s="97" t="str" cm="1">
        <f t="array" ref="W39">IF(OR($A39="",COLUMNS($D39:W39)&gt;Beheer!$C$4),"",N(INDEX(Dashboard!$C$2:$AF$61,MATCH(LARGE(Dashboard!$AI$2:$AI$61,$A39),Dashboard!$AI$2:$AI$61,0),COLUMNS($D39:W39)))&amp;"/"&amp;INDEX(Beheer!$B$7:$B$36,COLUMNS($D39:W39)))</f>
        <v/>
      </c>
      <c r="X39" s="97" t="str" cm="1">
        <f t="array" ref="X39">IF(OR($A39="",COLUMNS($D39:X39)&gt;Beheer!$C$4),"",N(INDEX(Dashboard!$C$2:$AF$61,MATCH(LARGE(Dashboard!$AI$2:$AI$61,$A39),Dashboard!$AI$2:$AI$61,0),COLUMNS($D39:X39)))&amp;"/"&amp;INDEX(Beheer!$B$7:$B$36,COLUMNS($D39:X39)))</f>
        <v/>
      </c>
      <c r="Y39" s="97" t="str" cm="1">
        <f t="array" ref="Y39">IF(OR($A39="",COLUMNS($D39:Y39)&gt;Beheer!$C$4),"",N(INDEX(Dashboard!$C$2:$AF$61,MATCH(LARGE(Dashboard!$AI$2:$AI$61,$A39),Dashboard!$AI$2:$AI$61,0),COLUMNS($D39:Y39)))&amp;"/"&amp;INDEX(Beheer!$B$7:$B$36,COLUMNS($D39:Y39)))</f>
        <v/>
      </c>
      <c r="Z39" s="97" t="str" cm="1">
        <f t="array" ref="Z39">IF(OR($A39="",COLUMNS($D39:Z39)&gt;Beheer!$C$4),"",N(INDEX(Dashboard!$C$2:$AF$61,MATCH(LARGE(Dashboard!$AI$2:$AI$61,$A39),Dashboard!$AI$2:$AI$61,0),COLUMNS($D39:Z39)))&amp;"/"&amp;INDEX(Beheer!$B$7:$B$36,COLUMNS($D39:Z39)))</f>
        <v/>
      </c>
      <c r="AA39" s="97" t="str" cm="1">
        <f t="array" ref="AA39">IF(OR($A39="",COLUMNS($D39:AA39)&gt;Beheer!$C$4),"",N(INDEX(Dashboard!$C$2:$AF$61,MATCH(LARGE(Dashboard!$AI$2:$AI$61,$A39),Dashboard!$AI$2:$AI$61,0),COLUMNS($D39:AA39)))&amp;"/"&amp;INDEX(Beheer!$B$7:$B$36,COLUMNS($D39:AA39)))</f>
        <v/>
      </c>
      <c r="AB39" s="97" t="str" cm="1">
        <f t="array" ref="AB39">IF(OR($A39="",COLUMNS($D39:AB39)&gt;Beheer!$C$4),"",N(INDEX(Dashboard!$C$2:$AF$61,MATCH(LARGE(Dashboard!$AI$2:$AI$61,$A39),Dashboard!$AI$2:$AI$61,0),COLUMNS($D39:AB39)))&amp;"/"&amp;INDEX(Beheer!$B$7:$B$36,COLUMNS($D39:AB39)))</f>
        <v/>
      </c>
      <c r="AC39" s="97" t="str" cm="1">
        <f t="array" ref="AC39">IF(OR($A39="",COLUMNS($D39:AC39)&gt;Beheer!$C$4),"",N(INDEX(Dashboard!$C$2:$AF$61,MATCH(LARGE(Dashboard!$AI$2:$AI$61,$A39),Dashboard!$AI$2:$AI$61,0),COLUMNS($D39:AC39)))&amp;"/"&amp;INDEX(Beheer!$B$7:$B$36,COLUMNS($D39:AC39)))</f>
        <v/>
      </c>
      <c r="AD39" s="97" t="str" cm="1">
        <f t="array" ref="AD39">IF(OR($A39="",COLUMNS($D39:AD39)&gt;Beheer!$C$4),"",N(INDEX(Dashboard!$C$2:$AF$61,MATCH(LARGE(Dashboard!$AI$2:$AI$61,$A39),Dashboard!$AI$2:$AI$61,0),COLUMNS($D39:AD39)))&amp;"/"&amp;INDEX(Beheer!$B$7:$B$36,COLUMNS($D39:AD39)))</f>
        <v/>
      </c>
      <c r="AE39" s="97" t="str" cm="1">
        <f t="array" ref="AE39">IF(OR($A39="",COLUMNS($D39:AE39)&gt;Beheer!$C$4),"",N(INDEX(Dashboard!$C$2:$AF$61,MATCH(LARGE(Dashboard!$AI$2:$AI$61,$A39),Dashboard!$AI$2:$AI$61,0),COLUMNS($D39:AE39)))&amp;"/"&amp;INDEX(Beheer!$B$7:$B$36,COLUMNS($D39:AE39)))</f>
        <v/>
      </c>
      <c r="AF39" s="97" t="str" cm="1">
        <f t="array" ref="AF39">IF(OR($A39="",COLUMNS($D39:AF39)&gt;Beheer!$C$4),"",N(INDEX(Dashboard!$C$2:$AF$61,MATCH(LARGE(Dashboard!$AI$2:$AI$61,$A39),Dashboard!$AI$2:$AI$61,0),COLUMNS($D39:AF39)))&amp;"/"&amp;INDEX(Beheer!$B$7:$B$36,COLUMNS($D39:AF39)))</f>
        <v/>
      </c>
      <c r="AG39" s="97" t="str" cm="1">
        <f t="array" ref="AG39">IF(OR($A39="",COLUMNS($D39:AG39)&gt;Beheer!$C$4),"",N(INDEX(Dashboard!$C$2:$AF$61,MATCH(LARGE(Dashboard!$AI$2:$AI$61,$A39),Dashboard!$AI$2:$AI$61,0),COLUMNS($D39:AG39)))&amp;"/"&amp;INDEX(Beheer!$B$7:$B$36,COLUMNS($D39:AG39)))</f>
        <v/>
      </c>
    </row>
    <row r="40" spans="1:33" ht="24" customHeight="1" thickBot="1" x14ac:dyDescent="0.5">
      <c r="A40" s="99" t="str">
        <f>IF(ROWS($A$2:A40)&gt;COUNTA(Beheer!$F$7:$F$66),"",ROWS($A$2:A40))</f>
        <v/>
      </c>
      <c r="B40" s="102" t="str">
        <f>IF($A40="","",INDEX(Dashboard!$A$2:$A$61,MATCH(LARGE(Dashboard!$AI$2:$AI$61,$A40),Dashboard!$AI$2:$AI$61,0)))</f>
        <v/>
      </c>
      <c r="C40" s="94" t="str">
        <f>IF($A40="","",INDEX(Dashboard!$AG$2:$AG$61,MATCH(LARGE(Dashboard!$AI$2:$AI$61,$A40),Dashboard!$AI$2:$AI$61,0))&amp;" / "&amp;INDEX(Dashboard!$AH$2:$AH$61,MATCH(LARGE(Dashboard!$AI$2:$AI$61,$A40),Dashboard!$AI$2:$AI$61,0)))</f>
        <v/>
      </c>
      <c r="D40" s="95" t="str" cm="1">
        <f t="array" ref="D40">IF(OR($A40="",COLUMNS($D40:D40)&gt;Beheer!$C$4),"",N(INDEX(Dashboard!$C$2:$AF$61,MATCH(LARGE(Dashboard!$AI$2:$AI$61,$A40),Dashboard!$AI$2:$AI$61,0),COLUMNS($D40:D40)))&amp;"/"&amp;INDEX(Beheer!$B$7:$B$36,COLUMNS($D40:D40)))</f>
        <v/>
      </c>
      <c r="E40" s="95" t="str" cm="1">
        <f t="array" ref="E40">IF(OR($A40="",COLUMNS($D40:E40)&gt;Beheer!$C$4),"",N(INDEX(Dashboard!$C$2:$AF$61,MATCH(LARGE(Dashboard!$AI$2:$AI$61,$A40),Dashboard!$AI$2:$AI$61,0),COLUMNS($D40:E40)))&amp;"/"&amp;INDEX(Beheer!$B$7:$B$36,COLUMNS($D40:E40)))</f>
        <v/>
      </c>
      <c r="F40" s="95" t="str" cm="1">
        <f t="array" ref="F40">IF(OR($A40="",COLUMNS($D40:F40)&gt;Beheer!$C$4),"",N(INDEX(Dashboard!$C$2:$AF$61,MATCH(LARGE(Dashboard!$AI$2:$AI$61,$A40),Dashboard!$AI$2:$AI$61,0),COLUMNS($D40:F40)))&amp;"/"&amp;INDEX(Beheer!$B$7:$B$36,COLUMNS($D40:F40)))</f>
        <v/>
      </c>
      <c r="G40" s="95" t="str" cm="1">
        <f t="array" ref="G40">IF(OR($A40="",COLUMNS($D40:G40)&gt;Beheer!$C$4),"",N(INDEX(Dashboard!$C$2:$AF$61,MATCH(LARGE(Dashboard!$AI$2:$AI$61,$A40),Dashboard!$AI$2:$AI$61,0),COLUMNS($D40:G40)))&amp;"/"&amp;INDEX(Beheer!$B$7:$B$36,COLUMNS($D40:G40)))</f>
        <v/>
      </c>
      <c r="H40" s="95" t="str" cm="1">
        <f t="array" ref="H40">IF(OR($A40="",COLUMNS($D40:H40)&gt;Beheer!$C$4),"",N(INDEX(Dashboard!$C$2:$AF$61,MATCH(LARGE(Dashboard!$AI$2:$AI$61,$A40),Dashboard!$AI$2:$AI$61,0),COLUMNS($D40:H40)))&amp;"/"&amp;INDEX(Beheer!$B$7:$B$36,COLUMNS($D40:H40)))</f>
        <v/>
      </c>
      <c r="I40" s="95" t="str" cm="1">
        <f t="array" ref="I40">IF(OR($A40="",COLUMNS($D40:I40)&gt;Beheer!$C$4),"",N(INDEX(Dashboard!$C$2:$AF$61,MATCH(LARGE(Dashboard!$AI$2:$AI$61,$A40),Dashboard!$AI$2:$AI$61,0),COLUMNS($D40:I40)))&amp;"/"&amp;INDEX(Beheer!$B$7:$B$36,COLUMNS($D40:I40)))</f>
        <v/>
      </c>
      <c r="J40" s="95" t="str" cm="1">
        <f t="array" ref="J40">IF(OR($A40="",COLUMNS($D40:J40)&gt;Beheer!$C$4),"",N(INDEX(Dashboard!$C$2:$AF$61,MATCH(LARGE(Dashboard!$AI$2:$AI$61,$A40),Dashboard!$AI$2:$AI$61,0),COLUMNS($D40:J40)))&amp;"/"&amp;INDEX(Beheer!$B$7:$B$36,COLUMNS($D40:J40)))</f>
        <v/>
      </c>
      <c r="K40" s="95" t="str" cm="1">
        <f t="array" ref="K40">IF(OR($A40="",COLUMNS($D40:K40)&gt;Beheer!$C$4),"",N(INDEX(Dashboard!$C$2:$AF$61,MATCH(LARGE(Dashboard!$AI$2:$AI$61,$A40),Dashboard!$AI$2:$AI$61,0),COLUMNS($D40:K40)))&amp;"/"&amp;INDEX(Beheer!$B$7:$B$36,COLUMNS($D40:K40)))</f>
        <v/>
      </c>
      <c r="L40" s="95" t="str" cm="1">
        <f t="array" ref="L40">IF(OR($A40="",COLUMNS($D40:L40)&gt;Beheer!$C$4),"",N(INDEX(Dashboard!$C$2:$AF$61,MATCH(LARGE(Dashboard!$AI$2:$AI$61,$A40),Dashboard!$AI$2:$AI$61,0),COLUMNS($D40:L40)))&amp;"/"&amp;INDEX(Beheer!$B$7:$B$36,COLUMNS($D40:L40)))</f>
        <v/>
      </c>
      <c r="M40" s="95" t="str" cm="1">
        <f t="array" ref="M40">IF(OR($A40="",COLUMNS($D40:M40)&gt;Beheer!$C$4),"",N(INDEX(Dashboard!$C$2:$AF$61,MATCH(LARGE(Dashboard!$AI$2:$AI$61,$A40),Dashboard!$AI$2:$AI$61,0),COLUMNS($D40:M40)))&amp;"/"&amp;INDEX(Beheer!$B$7:$B$36,COLUMNS($D40:M40)))</f>
        <v/>
      </c>
      <c r="N40" s="95" t="str" cm="1">
        <f t="array" ref="N40">IF(OR($A40="",COLUMNS($D40:N40)&gt;Beheer!$C$4),"",N(INDEX(Dashboard!$C$2:$AF$61,MATCH(LARGE(Dashboard!$AI$2:$AI$61,$A40),Dashboard!$AI$2:$AI$61,0),COLUMNS($D40:N40)))&amp;"/"&amp;INDEX(Beheer!$B$7:$B$36,COLUMNS($D40:N40)))</f>
        <v/>
      </c>
      <c r="O40" s="95" t="str" cm="1">
        <f t="array" ref="O40">IF(OR($A40="",COLUMNS($D40:O40)&gt;Beheer!$C$4),"",N(INDEX(Dashboard!$C$2:$AF$61,MATCH(LARGE(Dashboard!$AI$2:$AI$61,$A40),Dashboard!$AI$2:$AI$61,0),COLUMNS($D40:O40)))&amp;"/"&amp;INDEX(Beheer!$B$7:$B$36,COLUMNS($D40:O40)))</f>
        <v/>
      </c>
      <c r="P40" s="95" t="str" cm="1">
        <f t="array" ref="P40">IF(OR($A40="",COLUMNS($D40:P40)&gt;Beheer!$C$4),"",N(INDEX(Dashboard!$C$2:$AF$61,MATCH(LARGE(Dashboard!$AI$2:$AI$61,$A40),Dashboard!$AI$2:$AI$61,0),COLUMNS($D40:P40)))&amp;"/"&amp;INDEX(Beheer!$B$7:$B$36,COLUMNS($D40:P40)))</f>
        <v/>
      </c>
      <c r="Q40" s="95" t="str" cm="1">
        <f t="array" ref="Q40">IF(OR($A40="",COLUMNS($D40:Q40)&gt;Beheer!$C$4),"",N(INDEX(Dashboard!$C$2:$AF$61,MATCH(LARGE(Dashboard!$AI$2:$AI$61,$A40),Dashboard!$AI$2:$AI$61,0),COLUMNS($D40:Q40)))&amp;"/"&amp;INDEX(Beheer!$B$7:$B$36,COLUMNS($D40:Q40)))</f>
        <v/>
      </c>
      <c r="R40" s="95" t="str" cm="1">
        <f t="array" ref="R40">IF(OR($A40="",COLUMNS($D40:R40)&gt;Beheer!$C$4),"",N(INDEX(Dashboard!$C$2:$AF$61,MATCH(LARGE(Dashboard!$AI$2:$AI$61,$A40),Dashboard!$AI$2:$AI$61,0),COLUMNS($D40:R40)))&amp;"/"&amp;INDEX(Beheer!$B$7:$B$36,COLUMNS($D40:R40)))</f>
        <v/>
      </c>
      <c r="S40" s="95" t="str" cm="1">
        <f t="array" ref="S40">IF(OR($A40="",COLUMNS($D40:S40)&gt;Beheer!$C$4),"",N(INDEX(Dashboard!$C$2:$AF$61,MATCH(LARGE(Dashboard!$AI$2:$AI$61,$A40),Dashboard!$AI$2:$AI$61,0),COLUMNS($D40:S40)))&amp;"/"&amp;INDEX(Beheer!$B$7:$B$36,COLUMNS($D40:S40)))</f>
        <v/>
      </c>
      <c r="T40" s="95" t="str" cm="1">
        <f t="array" ref="T40">IF(OR($A40="",COLUMNS($D40:T40)&gt;Beheer!$C$4),"",N(INDEX(Dashboard!$C$2:$AF$61,MATCH(LARGE(Dashboard!$AI$2:$AI$61,$A40),Dashboard!$AI$2:$AI$61,0),COLUMNS($D40:T40)))&amp;"/"&amp;INDEX(Beheer!$B$7:$B$36,COLUMNS($D40:T40)))</f>
        <v/>
      </c>
      <c r="U40" s="95" t="str" cm="1">
        <f t="array" ref="U40">IF(OR($A40="",COLUMNS($D40:U40)&gt;Beheer!$C$4),"",N(INDEX(Dashboard!$C$2:$AF$61,MATCH(LARGE(Dashboard!$AI$2:$AI$61,$A40),Dashboard!$AI$2:$AI$61,0),COLUMNS($D40:U40)))&amp;"/"&amp;INDEX(Beheer!$B$7:$B$36,COLUMNS($D40:U40)))</f>
        <v/>
      </c>
      <c r="V40" s="95" t="str" cm="1">
        <f t="array" ref="V40">IF(OR($A40="",COLUMNS($D40:V40)&gt;Beheer!$C$4),"",N(INDEX(Dashboard!$C$2:$AF$61,MATCH(LARGE(Dashboard!$AI$2:$AI$61,$A40),Dashboard!$AI$2:$AI$61,0),COLUMNS($D40:V40)))&amp;"/"&amp;INDEX(Beheer!$B$7:$B$36,COLUMNS($D40:V40)))</f>
        <v/>
      </c>
      <c r="W40" s="95" t="str" cm="1">
        <f t="array" ref="W40">IF(OR($A40="",COLUMNS($D40:W40)&gt;Beheer!$C$4),"",N(INDEX(Dashboard!$C$2:$AF$61,MATCH(LARGE(Dashboard!$AI$2:$AI$61,$A40),Dashboard!$AI$2:$AI$61,0),COLUMNS($D40:W40)))&amp;"/"&amp;INDEX(Beheer!$B$7:$B$36,COLUMNS($D40:W40)))</f>
        <v/>
      </c>
      <c r="X40" s="95" t="str" cm="1">
        <f t="array" ref="X40">IF(OR($A40="",COLUMNS($D40:X40)&gt;Beheer!$C$4),"",N(INDEX(Dashboard!$C$2:$AF$61,MATCH(LARGE(Dashboard!$AI$2:$AI$61,$A40),Dashboard!$AI$2:$AI$61,0),COLUMNS($D40:X40)))&amp;"/"&amp;INDEX(Beheer!$B$7:$B$36,COLUMNS($D40:X40)))</f>
        <v/>
      </c>
      <c r="Y40" s="95" t="str" cm="1">
        <f t="array" ref="Y40">IF(OR($A40="",COLUMNS($D40:Y40)&gt;Beheer!$C$4),"",N(INDEX(Dashboard!$C$2:$AF$61,MATCH(LARGE(Dashboard!$AI$2:$AI$61,$A40),Dashboard!$AI$2:$AI$61,0),COLUMNS($D40:Y40)))&amp;"/"&amp;INDEX(Beheer!$B$7:$B$36,COLUMNS($D40:Y40)))</f>
        <v/>
      </c>
      <c r="Z40" s="95" t="str" cm="1">
        <f t="array" ref="Z40">IF(OR($A40="",COLUMNS($D40:Z40)&gt;Beheer!$C$4),"",N(INDEX(Dashboard!$C$2:$AF$61,MATCH(LARGE(Dashboard!$AI$2:$AI$61,$A40),Dashboard!$AI$2:$AI$61,0),COLUMNS($D40:Z40)))&amp;"/"&amp;INDEX(Beheer!$B$7:$B$36,COLUMNS($D40:Z40)))</f>
        <v/>
      </c>
      <c r="AA40" s="95" t="str" cm="1">
        <f t="array" ref="AA40">IF(OR($A40="",COLUMNS($D40:AA40)&gt;Beheer!$C$4),"",N(INDEX(Dashboard!$C$2:$AF$61,MATCH(LARGE(Dashboard!$AI$2:$AI$61,$A40),Dashboard!$AI$2:$AI$61,0),COLUMNS($D40:AA40)))&amp;"/"&amp;INDEX(Beheer!$B$7:$B$36,COLUMNS($D40:AA40)))</f>
        <v/>
      </c>
      <c r="AB40" s="95" t="str" cm="1">
        <f t="array" ref="AB40">IF(OR($A40="",COLUMNS($D40:AB40)&gt;Beheer!$C$4),"",N(INDEX(Dashboard!$C$2:$AF$61,MATCH(LARGE(Dashboard!$AI$2:$AI$61,$A40),Dashboard!$AI$2:$AI$61,0),COLUMNS($D40:AB40)))&amp;"/"&amp;INDEX(Beheer!$B$7:$B$36,COLUMNS($D40:AB40)))</f>
        <v/>
      </c>
      <c r="AC40" s="95" t="str" cm="1">
        <f t="array" ref="AC40">IF(OR($A40="",COLUMNS($D40:AC40)&gt;Beheer!$C$4),"",N(INDEX(Dashboard!$C$2:$AF$61,MATCH(LARGE(Dashboard!$AI$2:$AI$61,$A40),Dashboard!$AI$2:$AI$61,0),COLUMNS($D40:AC40)))&amp;"/"&amp;INDEX(Beheer!$B$7:$B$36,COLUMNS($D40:AC40)))</f>
        <v/>
      </c>
      <c r="AD40" s="95" t="str" cm="1">
        <f t="array" ref="AD40">IF(OR($A40="",COLUMNS($D40:AD40)&gt;Beheer!$C$4),"",N(INDEX(Dashboard!$C$2:$AF$61,MATCH(LARGE(Dashboard!$AI$2:$AI$61,$A40),Dashboard!$AI$2:$AI$61,0),COLUMNS($D40:AD40)))&amp;"/"&amp;INDEX(Beheer!$B$7:$B$36,COLUMNS($D40:AD40)))</f>
        <v/>
      </c>
      <c r="AE40" s="95" t="str" cm="1">
        <f t="array" ref="AE40">IF(OR($A40="",COLUMNS($D40:AE40)&gt;Beheer!$C$4),"",N(INDEX(Dashboard!$C$2:$AF$61,MATCH(LARGE(Dashboard!$AI$2:$AI$61,$A40),Dashboard!$AI$2:$AI$61,0),COLUMNS($D40:AE40)))&amp;"/"&amp;INDEX(Beheer!$B$7:$B$36,COLUMNS($D40:AE40)))</f>
        <v/>
      </c>
      <c r="AF40" s="95" t="str" cm="1">
        <f t="array" ref="AF40">IF(OR($A40="",COLUMNS($D40:AF40)&gt;Beheer!$C$4),"",N(INDEX(Dashboard!$C$2:$AF$61,MATCH(LARGE(Dashboard!$AI$2:$AI$61,$A40),Dashboard!$AI$2:$AI$61,0),COLUMNS($D40:AF40)))&amp;"/"&amp;INDEX(Beheer!$B$7:$B$36,COLUMNS($D40:AF40)))</f>
        <v/>
      </c>
      <c r="AG40" s="95" t="str" cm="1">
        <f t="array" ref="AG40">IF(OR($A40="",COLUMNS($D40:AG40)&gt;Beheer!$C$4),"",N(INDEX(Dashboard!$C$2:$AF$61,MATCH(LARGE(Dashboard!$AI$2:$AI$61,$A40),Dashboard!$AI$2:$AI$61,0),COLUMNS($D40:AG40)))&amp;"/"&amp;INDEX(Beheer!$B$7:$B$36,COLUMNS($D40:AG40)))</f>
        <v/>
      </c>
    </row>
    <row r="41" spans="1:33" ht="24" customHeight="1" thickBot="1" x14ac:dyDescent="0.5">
      <c r="A41" s="98" t="str">
        <f>IF(ROWS($A$2:A41)&gt;COUNTA(Beheer!$F$7:$F$66),"",ROWS($A$2:A41))</f>
        <v/>
      </c>
      <c r="B41" s="101" t="str">
        <f>IF($A41="","",INDEX(Dashboard!$A$2:$A$61,MATCH(LARGE(Dashboard!$AI$2:$AI$61,$A41),Dashboard!$AI$2:$AI$61,0)))</f>
        <v/>
      </c>
      <c r="C41" s="96" t="str">
        <f>IF($A41="","",INDEX(Dashboard!$AG$2:$AG$61,MATCH(LARGE(Dashboard!$AI$2:$AI$61,$A41),Dashboard!$AI$2:$AI$61,0))&amp;" / "&amp;INDEX(Dashboard!$AH$2:$AH$61,MATCH(LARGE(Dashboard!$AI$2:$AI$61,$A41),Dashboard!$AI$2:$AI$61,0)))</f>
        <v/>
      </c>
      <c r="D41" s="97" t="str" cm="1">
        <f t="array" ref="D41">IF(OR($A41="",COLUMNS($D41:D41)&gt;Beheer!$C$4),"",N(INDEX(Dashboard!$C$2:$AF$61,MATCH(LARGE(Dashboard!$AI$2:$AI$61,$A41),Dashboard!$AI$2:$AI$61,0),COLUMNS($D41:D41)))&amp;"/"&amp;INDEX(Beheer!$B$7:$B$36,COLUMNS($D41:D41)))</f>
        <v/>
      </c>
      <c r="E41" s="97" t="str" cm="1">
        <f t="array" ref="E41">IF(OR($A41="",COLUMNS($D41:E41)&gt;Beheer!$C$4),"",N(INDEX(Dashboard!$C$2:$AF$61,MATCH(LARGE(Dashboard!$AI$2:$AI$61,$A41),Dashboard!$AI$2:$AI$61,0),COLUMNS($D41:E41)))&amp;"/"&amp;INDEX(Beheer!$B$7:$B$36,COLUMNS($D41:E41)))</f>
        <v/>
      </c>
      <c r="F41" s="97" t="str" cm="1">
        <f t="array" ref="F41">IF(OR($A41="",COLUMNS($D41:F41)&gt;Beheer!$C$4),"",N(INDEX(Dashboard!$C$2:$AF$61,MATCH(LARGE(Dashboard!$AI$2:$AI$61,$A41),Dashboard!$AI$2:$AI$61,0),COLUMNS($D41:F41)))&amp;"/"&amp;INDEX(Beheer!$B$7:$B$36,COLUMNS($D41:F41)))</f>
        <v/>
      </c>
      <c r="G41" s="97" t="str" cm="1">
        <f t="array" ref="G41">IF(OR($A41="",COLUMNS($D41:G41)&gt;Beheer!$C$4),"",N(INDEX(Dashboard!$C$2:$AF$61,MATCH(LARGE(Dashboard!$AI$2:$AI$61,$A41),Dashboard!$AI$2:$AI$61,0),COLUMNS($D41:G41)))&amp;"/"&amp;INDEX(Beheer!$B$7:$B$36,COLUMNS($D41:G41)))</f>
        <v/>
      </c>
      <c r="H41" s="97" t="str" cm="1">
        <f t="array" ref="H41">IF(OR($A41="",COLUMNS($D41:H41)&gt;Beheer!$C$4),"",N(INDEX(Dashboard!$C$2:$AF$61,MATCH(LARGE(Dashboard!$AI$2:$AI$61,$A41),Dashboard!$AI$2:$AI$61,0),COLUMNS($D41:H41)))&amp;"/"&amp;INDEX(Beheer!$B$7:$B$36,COLUMNS($D41:H41)))</f>
        <v/>
      </c>
      <c r="I41" s="97" t="str" cm="1">
        <f t="array" ref="I41">IF(OR($A41="",COLUMNS($D41:I41)&gt;Beheer!$C$4),"",N(INDEX(Dashboard!$C$2:$AF$61,MATCH(LARGE(Dashboard!$AI$2:$AI$61,$A41),Dashboard!$AI$2:$AI$61,0),COLUMNS($D41:I41)))&amp;"/"&amp;INDEX(Beheer!$B$7:$B$36,COLUMNS($D41:I41)))</f>
        <v/>
      </c>
      <c r="J41" s="97" t="str" cm="1">
        <f t="array" ref="J41">IF(OR($A41="",COLUMNS($D41:J41)&gt;Beheer!$C$4),"",N(INDEX(Dashboard!$C$2:$AF$61,MATCH(LARGE(Dashboard!$AI$2:$AI$61,$A41),Dashboard!$AI$2:$AI$61,0),COLUMNS($D41:J41)))&amp;"/"&amp;INDEX(Beheer!$B$7:$B$36,COLUMNS($D41:J41)))</f>
        <v/>
      </c>
      <c r="K41" s="97" t="str" cm="1">
        <f t="array" ref="K41">IF(OR($A41="",COLUMNS($D41:K41)&gt;Beheer!$C$4),"",N(INDEX(Dashboard!$C$2:$AF$61,MATCH(LARGE(Dashboard!$AI$2:$AI$61,$A41),Dashboard!$AI$2:$AI$61,0),COLUMNS($D41:K41)))&amp;"/"&amp;INDEX(Beheer!$B$7:$B$36,COLUMNS($D41:K41)))</f>
        <v/>
      </c>
      <c r="L41" s="97" t="str" cm="1">
        <f t="array" ref="L41">IF(OR($A41="",COLUMNS($D41:L41)&gt;Beheer!$C$4),"",N(INDEX(Dashboard!$C$2:$AF$61,MATCH(LARGE(Dashboard!$AI$2:$AI$61,$A41),Dashboard!$AI$2:$AI$61,0),COLUMNS($D41:L41)))&amp;"/"&amp;INDEX(Beheer!$B$7:$B$36,COLUMNS($D41:L41)))</f>
        <v/>
      </c>
      <c r="M41" s="97" t="str" cm="1">
        <f t="array" ref="M41">IF(OR($A41="",COLUMNS($D41:M41)&gt;Beheer!$C$4),"",N(INDEX(Dashboard!$C$2:$AF$61,MATCH(LARGE(Dashboard!$AI$2:$AI$61,$A41),Dashboard!$AI$2:$AI$61,0),COLUMNS($D41:M41)))&amp;"/"&amp;INDEX(Beheer!$B$7:$B$36,COLUMNS($D41:M41)))</f>
        <v/>
      </c>
      <c r="N41" s="97" t="str" cm="1">
        <f t="array" ref="N41">IF(OR($A41="",COLUMNS($D41:N41)&gt;Beheer!$C$4),"",N(INDEX(Dashboard!$C$2:$AF$61,MATCH(LARGE(Dashboard!$AI$2:$AI$61,$A41),Dashboard!$AI$2:$AI$61,0),COLUMNS($D41:N41)))&amp;"/"&amp;INDEX(Beheer!$B$7:$B$36,COLUMNS($D41:N41)))</f>
        <v/>
      </c>
      <c r="O41" s="97" t="str" cm="1">
        <f t="array" ref="O41">IF(OR($A41="",COLUMNS($D41:O41)&gt;Beheer!$C$4),"",N(INDEX(Dashboard!$C$2:$AF$61,MATCH(LARGE(Dashboard!$AI$2:$AI$61,$A41),Dashboard!$AI$2:$AI$61,0),COLUMNS($D41:O41)))&amp;"/"&amp;INDEX(Beheer!$B$7:$B$36,COLUMNS($D41:O41)))</f>
        <v/>
      </c>
      <c r="P41" s="97" t="str" cm="1">
        <f t="array" ref="P41">IF(OR($A41="",COLUMNS($D41:P41)&gt;Beheer!$C$4),"",N(INDEX(Dashboard!$C$2:$AF$61,MATCH(LARGE(Dashboard!$AI$2:$AI$61,$A41),Dashboard!$AI$2:$AI$61,0),COLUMNS($D41:P41)))&amp;"/"&amp;INDEX(Beheer!$B$7:$B$36,COLUMNS($D41:P41)))</f>
        <v/>
      </c>
      <c r="Q41" s="97" t="str" cm="1">
        <f t="array" ref="Q41">IF(OR($A41="",COLUMNS($D41:Q41)&gt;Beheer!$C$4),"",N(INDEX(Dashboard!$C$2:$AF$61,MATCH(LARGE(Dashboard!$AI$2:$AI$61,$A41),Dashboard!$AI$2:$AI$61,0),COLUMNS($D41:Q41)))&amp;"/"&amp;INDEX(Beheer!$B$7:$B$36,COLUMNS($D41:Q41)))</f>
        <v/>
      </c>
      <c r="R41" s="97" t="str" cm="1">
        <f t="array" ref="R41">IF(OR($A41="",COLUMNS($D41:R41)&gt;Beheer!$C$4),"",N(INDEX(Dashboard!$C$2:$AF$61,MATCH(LARGE(Dashboard!$AI$2:$AI$61,$A41),Dashboard!$AI$2:$AI$61,0),COLUMNS($D41:R41)))&amp;"/"&amp;INDEX(Beheer!$B$7:$B$36,COLUMNS($D41:R41)))</f>
        <v/>
      </c>
      <c r="S41" s="97" t="str" cm="1">
        <f t="array" ref="S41">IF(OR($A41="",COLUMNS($D41:S41)&gt;Beheer!$C$4),"",N(INDEX(Dashboard!$C$2:$AF$61,MATCH(LARGE(Dashboard!$AI$2:$AI$61,$A41),Dashboard!$AI$2:$AI$61,0),COLUMNS($D41:S41)))&amp;"/"&amp;INDEX(Beheer!$B$7:$B$36,COLUMNS($D41:S41)))</f>
        <v/>
      </c>
      <c r="T41" s="97" t="str" cm="1">
        <f t="array" ref="T41">IF(OR($A41="",COLUMNS($D41:T41)&gt;Beheer!$C$4),"",N(INDEX(Dashboard!$C$2:$AF$61,MATCH(LARGE(Dashboard!$AI$2:$AI$61,$A41),Dashboard!$AI$2:$AI$61,0),COLUMNS($D41:T41)))&amp;"/"&amp;INDEX(Beheer!$B$7:$B$36,COLUMNS($D41:T41)))</f>
        <v/>
      </c>
      <c r="U41" s="97" t="str" cm="1">
        <f t="array" ref="U41">IF(OR($A41="",COLUMNS($D41:U41)&gt;Beheer!$C$4),"",N(INDEX(Dashboard!$C$2:$AF$61,MATCH(LARGE(Dashboard!$AI$2:$AI$61,$A41),Dashboard!$AI$2:$AI$61,0),COLUMNS($D41:U41)))&amp;"/"&amp;INDEX(Beheer!$B$7:$B$36,COLUMNS($D41:U41)))</f>
        <v/>
      </c>
      <c r="V41" s="97" t="str" cm="1">
        <f t="array" ref="V41">IF(OR($A41="",COLUMNS($D41:V41)&gt;Beheer!$C$4),"",N(INDEX(Dashboard!$C$2:$AF$61,MATCH(LARGE(Dashboard!$AI$2:$AI$61,$A41),Dashboard!$AI$2:$AI$61,0),COLUMNS($D41:V41)))&amp;"/"&amp;INDEX(Beheer!$B$7:$B$36,COLUMNS($D41:V41)))</f>
        <v/>
      </c>
      <c r="W41" s="97" t="str" cm="1">
        <f t="array" ref="W41">IF(OR($A41="",COLUMNS($D41:W41)&gt;Beheer!$C$4),"",N(INDEX(Dashboard!$C$2:$AF$61,MATCH(LARGE(Dashboard!$AI$2:$AI$61,$A41),Dashboard!$AI$2:$AI$61,0),COLUMNS($D41:W41)))&amp;"/"&amp;INDEX(Beheer!$B$7:$B$36,COLUMNS($D41:W41)))</f>
        <v/>
      </c>
      <c r="X41" s="97" t="str" cm="1">
        <f t="array" ref="X41">IF(OR($A41="",COLUMNS($D41:X41)&gt;Beheer!$C$4),"",N(INDEX(Dashboard!$C$2:$AF$61,MATCH(LARGE(Dashboard!$AI$2:$AI$61,$A41),Dashboard!$AI$2:$AI$61,0),COLUMNS($D41:X41)))&amp;"/"&amp;INDEX(Beheer!$B$7:$B$36,COLUMNS($D41:X41)))</f>
        <v/>
      </c>
      <c r="Y41" s="97" t="str" cm="1">
        <f t="array" ref="Y41">IF(OR($A41="",COLUMNS($D41:Y41)&gt;Beheer!$C$4),"",N(INDEX(Dashboard!$C$2:$AF$61,MATCH(LARGE(Dashboard!$AI$2:$AI$61,$A41),Dashboard!$AI$2:$AI$61,0),COLUMNS($D41:Y41)))&amp;"/"&amp;INDEX(Beheer!$B$7:$B$36,COLUMNS($D41:Y41)))</f>
        <v/>
      </c>
      <c r="Z41" s="97" t="str" cm="1">
        <f t="array" ref="Z41">IF(OR($A41="",COLUMNS($D41:Z41)&gt;Beheer!$C$4),"",N(INDEX(Dashboard!$C$2:$AF$61,MATCH(LARGE(Dashboard!$AI$2:$AI$61,$A41),Dashboard!$AI$2:$AI$61,0),COLUMNS($D41:Z41)))&amp;"/"&amp;INDEX(Beheer!$B$7:$B$36,COLUMNS($D41:Z41)))</f>
        <v/>
      </c>
      <c r="AA41" s="97" t="str" cm="1">
        <f t="array" ref="AA41">IF(OR($A41="",COLUMNS($D41:AA41)&gt;Beheer!$C$4),"",N(INDEX(Dashboard!$C$2:$AF$61,MATCH(LARGE(Dashboard!$AI$2:$AI$61,$A41),Dashboard!$AI$2:$AI$61,0),COLUMNS($D41:AA41)))&amp;"/"&amp;INDEX(Beheer!$B$7:$B$36,COLUMNS($D41:AA41)))</f>
        <v/>
      </c>
      <c r="AB41" s="97" t="str" cm="1">
        <f t="array" ref="AB41">IF(OR($A41="",COLUMNS($D41:AB41)&gt;Beheer!$C$4),"",N(INDEX(Dashboard!$C$2:$AF$61,MATCH(LARGE(Dashboard!$AI$2:$AI$61,$A41),Dashboard!$AI$2:$AI$61,0),COLUMNS($D41:AB41)))&amp;"/"&amp;INDEX(Beheer!$B$7:$B$36,COLUMNS($D41:AB41)))</f>
        <v/>
      </c>
      <c r="AC41" s="97" t="str" cm="1">
        <f t="array" ref="AC41">IF(OR($A41="",COLUMNS($D41:AC41)&gt;Beheer!$C$4),"",N(INDEX(Dashboard!$C$2:$AF$61,MATCH(LARGE(Dashboard!$AI$2:$AI$61,$A41),Dashboard!$AI$2:$AI$61,0),COLUMNS($D41:AC41)))&amp;"/"&amp;INDEX(Beheer!$B$7:$B$36,COLUMNS($D41:AC41)))</f>
        <v/>
      </c>
      <c r="AD41" s="97" t="str" cm="1">
        <f t="array" ref="AD41">IF(OR($A41="",COLUMNS($D41:AD41)&gt;Beheer!$C$4),"",N(INDEX(Dashboard!$C$2:$AF$61,MATCH(LARGE(Dashboard!$AI$2:$AI$61,$A41),Dashboard!$AI$2:$AI$61,0),COLUMNS($D41:AD41)))&amp;"/"&amp;INDEX(Beheer!$B$7:$B$36,COLUMNS($D41:AD41)))</f>
        <v/>
      </c>
      <c r="AE41" s="97" t="str" cm="1">
        <f t="array" ref="AE41">IF(OR($A41="",COLUMNS($D41:AE41)&gt;Beheer!$C$4),"",N(INDEX(Dashboard!$C$2:$AF$61,MATCH(LARGE(Dashboard!$AI$2:$AI$61,$A41),Dashboard!$AI$2:$AI$61,0),COLUMNS($D41:AE41)))&amp;"/"&amp;INDEX(Beheer!$B$7:$B$36,COLUMNS($D41:AE41)))</f>
        <v/>
      </c>
      <c r="AF41" s="97" t="str" cm="1">
        <f t="array" ref="AF41">IF(OR($A41="",COLUMNS($D41:AF41)&gt;Beheer!$C$4),"",N(INDEX(Dashboard!$C$2:$AF$61,MATCH(LARGE(Dashboard!$AI$2:$AI$61,$A41),Dashboard!$AI$2:$AI$61,0),COLUMNS($D41:AF41)))&amp;"/"&amp;INDEX(Beheer!$B$7:$B$36,COLUMNS($D41:AF41)))</f>
        <v/>
      </c>
      <c r="AG41" s="97" t="str" cm="1">
        <f t="array" ref="AG41">IF(OR($A41="",COLUMNS($D41:AG41)&gt;Beheer!$C$4),"",N(INDEX(Dashboard!$C$2:$AF$61,MATCH(LARGE(Dashboard!$AI$2:$AI$61,$A41),Dashboard!$AI$2:$AI$61,0),COLUMNS($D41:AG41)))&amp;"/"&amp;INDEX(Beheer!$B$7:$B$36,COLUMNS($D41:AG41)))</f>
        <v/>
      </c>
    </row>
    <row r="42" spans="1:33" ht="24" customHeight="1" thickBot="1" x14ac:dyDescent="0.5">
      <c r="A42" s="99" t="str">
        <f>IF(ROWS($A$2:A42)&gt;COUNTA(Beheer!$F$7:$F$66),"",ROWS($A$2:A42))</f>
        <v/>
      </c>
      <c r="B42" s="102" t="str">
        <f>IF($A42="","",INDEX(Dashboard!$A$2:$A$61,MATCH(LARGE(Dashboard!$AI$2:$AI$61,$A42),Dashboard!$AI$2:$AI$61,0)))</f>
        <v/>
      </c>
      <c r="C42" s="94" t="str">
        <f>IF($A42="","",INDEX(Dashboard!$AG$2:$AG$61,MATCH(LARGE(Dashboard!$AI$2:$AI$61,$A42),Dashboard!$AI$2:$AI$61,0))&amp;" / "&amp;INDEX(Dashboard!$AH$2:$AH$61,MATCH(LARGE(Dashboard!$AI$2:$AI$61,$A42),Dashboard!$AI$2:$AI$61,0)))</f>
        <v/>
      </c>
      <c r="D42" s="95" t="str" cm="1">
        <f t="array" ref="D42">IF(OR($A42="",COLUMNS($D42:D42)&gt;Beheer!$C$4),"",N(INDEX(Dashboard!$C$2:$AF$61,MATCH(LARGE(Dashboard!$AI$2:$AI$61,$A42),Dashboard!$AI$2:$AI$61,0),COLUMNS($D42:D42)))&amp;"/"&amp;INDEX(Beheer!$B$7:$B$36,COLUMNS($D42:D42)))</f>
        <v/>
      </c>
      <c r="E42" s="95" t="str" cm="1">
        <f t="array" ref="E42">IF(OR($A42="",COLUMNS($D42:E42)&gt;Beheer!$C$4),"",N(INDEX(Dashboard!$C$2:$AF$61,MATCH(LARGE(Dashboard!$AI$2:$AI$61,$A42),Dashboard!$AI$2:$AI$61,0),COLUMNS($D42:E42)))&amp;"/"&amp;INDEX(Beheer!$B$7:$B$36,COLUMNS($D42:E42)))</f>
        <v/>
      </c>
      <c r="F42" s="95" t="str" cm="1">
        <f t="array" ref="F42">IF(OR($A42="",COLUMNS($D42:F42)&gt;Beheer!$C$4),"",N(INDEX(Dashboard!$C$2:$AF$61,MATCH(LARGE(Dashboard!$AI$2:$AI$61,$A42),Dashboard!$AI$2:$AI$61,0),COLUMNS($D42:F42)))&amp;"/"&amp;INDEX(Beheer!$B$7:$B$36,COLUMNS($D42:F42)))</f>
        <v/>
      </c>
      <c r="G42" s="95" t="str" cm="1">
        <f t="array" ref="G42">IF(OR($A42="",COLUMNS($D42:G42)&gt;Beheer!$C$4),"",N(INDEX(Dashboard!$C$2:$AF$61,MATCH(LARGE(Dashboard!$AI$2:$AI$61,$A42),Dashboard!$AI$2:$AI$61,0),COLUMNS($D42:G42)))&amp;"/"&amp;INDEX(Beheer!$B$7:$B$36,COLUMNS($D42:G42)))</f>
        <v/>
      </c>
      <c r="H42" s="95" t="str" cm="1">
        <f t="array" ref="H42">IF(OR($A42="",COLUMNS($D42:H42)&gt;Beheer!$C$4),"",N(INDEX(Dashboard!$C$2:$AF$61,MATCH(LARGE(Dashboard!$AI$2:$AI$61,$A42),Dashboard!$AI$2:$AI$61,0),COLUMNS($D42:H42)))&amp;"/"&amp;INDEX(Beheer!$B$7:$B$36,COLUMNS($D42:H42)))</f>
        <v/>
      </c>
      <c r="I42" s="95" t="str" cm="1">
        <f t="array" ref="I42">IF(OR($A42="",COLUMNS($D42:I42)&gt;Beheer!$C$4),"",N(INDEX(Dashboard!$C$2:$AF$61,MATCH(LARGE(Dashboard!$AI$2:$AI$61,$A42),Dashboard!$AI$2:$AI$61,0),COLUMNS($D42:I42)))&amp;"/"&amp;INDEX(Beheer!$B$7:$B$36,COLUMNS($D42:I42)))</f>
        <v/>
      </c>
      <c r="J42" s="95" t="str" cm="1">
        <f t="array" ref="J42">IF(OR($A42="",COLUMNS($D42:J42)&gt;Beheer!$C$4),"",N(INDEX(Dashboard!$C$2:$AF$61,MATCH(LARGE(Dashboard!$AI$2:$AI$61,$A42),Dashboard!$AI$2:$AI$61,0),COLUMNS($D42:J42)))&amp;"/"&amp;INDEX(Beheer!$B$7:$B$36,COLUMNS($D42:J42)))</f>
        <v/>
      </c>
      <c r="K42" s="95" t="str" cm="1">
        <f t="array" ref="K42">IF(OR($A42="",COLUMNS($D42:K42)&gt;Beheer!$C$4),"",N(INDEX(Dashboard!$C$2:$AF$61,MATCH(LARGE(Dashboard!$AI$2:$AI$61,$A42),Dashboard!$AI$2:$AI$61,0),COLUMNS($D42:K42)))&amp;"/"&amp;INDEX(Beheer!$B$7:$B$36,COLUMNS($D42:K42)))</f>
        <v/>
      </c>
      <c r="L42" s="95" t="str" cm="1">
        <f t="array" ref="L42">IF(OR($A42="",COLUMNS($D42:L42)&gt;Beheer!$C$4),"",N(INDEX(Dashboard!$C$2:$AF$61,MATCH(LARGE(Dashboard!$AI$2:$AI$61,$A42),Dashboard!$AI$2:$AI$61,0),COLUMNS($D42:L42)))&amp;"/"&amp;INDEX(Beheer!$B$7:$B$36,COLUMNS($D42:L42)))</f>
        <v/>
      </c>
      <c r="M42" s="95" t="str" cm="1">
        <f t="array" ref="M42">IF(OR($A42="",COLUMNS($D42:M42)&gt;Beheer!$C$4),"",N(INDEX(Dashboard!$C$2:$AF$61,MATCH(LARGE(Dashboard!$AI$2:$AI$61,$A42),Dashboard!$AI$2:$AI$61,0),COLUMNS($D42:M42)))&amp;"/"&amp;INDEX(Beheer!$B$7:$B$36,COLUMNS($D42:M42)))</f>
        <v/>
      </c>
      <c r="N42" s="95" t="str" cm="1">
        <f t="array" ref="N42">IF(OR($A42="",COLUMNS($D42:N42)&gt;Beheer!$C$4),"",N(INDEX(Dashboard!$C$2:$AF$61,MATCH(LARGE(Dashboard!$AI$2:$AI$61,$A42),Dashboard!$AI$2:$AI$61,0),COLUMNS($D42:N42)))&amp;"/"&amp;INDEX(Beheer!$B$7:$B$36,COLUMNS($D42:N42)))</f>
        <v/>
      </c>
      <c r="O42" s="95" t="str" cm="1">
        <f t="array" ref="O42">IF(OR($A42="",COLUMNS($D42:O42)&gt;Beheer!$C$4),"",N(INDEX(Dashboard!$C$2:$AF$61,MATCH(LARGE(Dashboard!$AI$2:$AI$61,$A42),Dashboard!$AI$2:$AI$61,0),COLUMNS($D42:O42)))&amp;"/"&amp;INDEX(Beheer!$B$7:$B$36,COLUMNS($D42:O42)))</f>
        <v/>
      </c>
      <c r="P42" s="95" t="str" cm="1">
        <f t="array" ref="P42">IF(OR($A42="",COLUMNS($D42:P42)&gt;Beheer!$C$4),"",N(INDEX(Dashboard!$C$2:$AF$61,MATCH(LARGE(Dashboard!$AI$2:$AI$61,$A42),Dashboard!$AI$2:$AI$61,0),COLUMNS($D42:P42)))&amp;"/"&amp;INDEX(Beheer!$B$7:$B$36,COLUMNS($D42:P42)))</f>
        <v/>
      </c>
      <c r="Q42" s="95" t="str" cm="1">
        <f t="array" ref="Q42">IF(OR($A42="",COLUMNS($D42:Q42)&gt;Beheer!$C$4),"",N(INDEX(Dashboard!$C$2:$AF$61,MATCH(LARGE(Dashboard!$AI$2:$AI$61,$A42),Dashboard!$AI$2:$AI$61,0),COLUMNS($D42:Q42)))&amp;"/"&amp;INDEX(Beheer!$B$7:$B$36,COLUMNS($D42:Q42)))</f>
        <v/>
      </c>
      <c r="R42" s="95" t="str" cm="1">
        <f t="array" ref="R42">IF(OR($A42="",COLUMNS($D42:R42)&gt;Beheer!$C$4),"",N(INDEX(Dashboard!$C$2:$AF$61,MATCH(LARGE(Dashboard!$AI$2:$AI$61,$A42),Dashboard!$AI$2:$AI$61,0),COLUMNS($D42:R42)))&amp;"/"&amp;INDEX(Beheer!$B$7:$B$36,COLUMNS($D42:R42)))</f>
        <v/>
      </c>
      <c r="S42" s="95" t="str" cm="1">
        <f t="array" ref="S42">IF(OR($A42="",COLUMNS($D42:S42)&gt;Beheer!$C$4),"",N(INDEX(Dashboard!$C$2:$AF$61,MATCH(LARGE(Dashboard!$AI$2:$AI$61,$A42),Dashboard!$AI$2:$AI$61,0),COLUMNS($D42:S42)))&amp;"/"&amp;INDEX(Beheer!$B$7:$B$36,COLUMNS($D42:S42)))</f>
        <v/>
      </c>
      <c r="T42" s="95" t="str" cm="1">
        <f t="array" ref="T42">IF(OR($A42="",COLUMNS($D42:T42)&gt;Beheer!$C$4),"",N(INDEX(Dashboard!$C$2:$AF$61,MATCH(LARGE(Dashboard!$AI$2:$AI$61,$A42),Dashboard!$AI$2:$AI$61,0),COLUMNS($D42:T42)))&amp;"/"&amp;INDEX(Beheer!$B$7:$B$36,COLUMNS($D42:T42)))</f>
        <v/>
      </c>
      <c r="U42" s="95" t="str" cm="1">
        <f t="array" ref="U42">IF(OR($A42="",COLUMNS($D42:U42)&gt;Beheer!$C$4),"",N(INDEX(Dashboard!$C$2:$AF$61,MATCH(LARGE(Dashboard!$AI$2:$AI$61,$A42),Dashboard!$AI$2:$AI$61,0),COLUMNS($D42:U42)))&amp;"/"&amp;INDEX(Beheer!$B$7:$B$36,COLUMNS($D42:U42)))</f>
        <v/>
      </c>
      <c r="V42" s="95" t="str" cm="1">
        <f t="array" ref="V42">IF(OR($A42="",COLUMNS($D42:V42)&gt;Beheer!$C$4),"",N(INDEX(Dashboard!$C$2:$AF$61,MATCH(LARGE(Dashboard!$AI$2:$AI$61,$A42),Dashboard!$AI$2:$AI$61,0),COLUMNS($D42:V42)))&amp;"/"&amp;INDEX(Beheer!$B$7:$B$36,COLUMNS($D42:V42)))</f>
        <v/>
      </c>
      <c r="W42" s="95" t="str" cm="1">
        <f t="array" ref="W42">IF(OR($A42="",COLUMNS($D42:W42)&gt;Beheer!$C$4),"",N(INDEX(Dashboard!$C$2:$AF$61,MATCH(LARGE(Dashboard!$AI$2:$AI$61,$A42),Dashboard!$AI$2:$AI$61,0),COLUMNS($D42:W42)))&amp;"/"&amp;INDEX(Beheer!$B$7:$B$36,COLUMNS($D42:W42)))</f>
        <v/>
      </c>
      <c r="X42" s="95" t="str" cm="1">
        <f t="array" ref="X42">IF(OR($A42="",COLUMNS($D42:X42)&gt;Beheer!$C$4),"",N(INDEX(Dashboard!$C$2:$AF$61,MATCH(LARGE(Dashboard!$AI$2:$AI$61,$A42),Dashboard!$AI$2:$AI$61,0),COLUMNS($D42:X42)))&amp;"/"&amp;INDEX(Beheer!$B$7:$B$36,COLUMNS($D42:X42)))</f>
        <v/>
      </c>
      <c r="Y42" s="95" t="str" cm="1">
        <f t="array" ref="Y42">IF(OR($A42="",COLUMNS($D42:Y42)&gt;Beheer!$C$4),"",N(INDEX(Dashboard!$C$2:$AF$61,MATCH(LARGE(Dashboard!$AI$2:$AI$61,$A42),Dashboard!$AI$2:$AI$61,0),COLUMNS($D42:Y42)))&amp;"/"&amp;INDEX(Beheer!$B$7:$B$36,COLUMNS($D42:Y42)))</f>
        <v/>
      </c>
      <c r="Z42" s="95" t="str" cm="1">
        <f t="array" ref="Z42">IF(OR($A42="",COLUMNS($D42:Z42)&gt;Beheer!$C$4),"",N(INDEX(Dashboard!$C$2:$AF$61,MATCH(LARGE(Dashboard!$AI$2:$AI$61,$A42),Dashboard!$AI$2:$AI$61,0),COLUMNS($D42:Z42)))&amp;"/"&amp;INDEX(Beheer!$B$7:$B$36,COLUMNS($D42:Z42)))</f>
        <v/>
      </c>
      <c r="AA42" s="95" t="str" cm="1">
        <f t="array" ref="AA42">IF(OR($A42="",COLUMNS($D42:AA42)&gt;Beheer!$C$4),"",N(INDEX(Dashboard!$C$2:$AF$61,MATCH(LARGE(Dashboard!$AI$2:$AI$61,$A42),Dashboard!$AI$2:$AI$61,0),COLUMNS($D42:AA42)))&amp;"/"&amp;INDEX(Beheer!$B$7:$B$36,COLUMNS($D42:AA42)))</f>
        <v/>
      </c>
      <c r="AB42" s="95" t="str" cm="1">
        <f t="array" ref="AB42">IF(OR($A42="",COLUMNS($D42:AB42)&gt;Beheer!$C$4),"",N(INDEX(Dashboard!$C$2:$AF$61,MATCH(LARGE(Dashboard!$AI$2:$AI$61,$A42),Dashboard!$AI$2:$AI$61,0),COLUMNS($D42:AB42)))&amp;"/"&amp;INDEX(Beheer!$B$7:$B$36,COLUMNS($D42:AB42)))</f>
        <v/>
      </c>
      <c r="AC42" s="95" t="str" cm="1">
        <f t="array" ref="AC42">IF(OR($A42="",COLUMNS($D42:AC42)&gt;Beheer!$C$4),"",N(INDEX(Dashboard!$C$2:$AF$61,MATCH(LARGE(Dashboard!$AI$2:$AI$61,$A42),Dashboard!$AI$2:$AI$61,0),COLUMNS($D42:AC42)))&amp;"/"&amp;INDEX(Beheer!$B$7:$B$36,COLUMNS($D42:AC42)))</f>
        <v/>
      </c>
      <c r="AD42" s="95" t="str" cm="1">
        <f t="array" ref="AD42">IF(OR($A42="",COLUMNS($D42:AD42)&gt;Beheer!$C$4),"",N(INDEX(Dashboard!$C$2:$AF$61,MATCH(LARGE(Dashboard!$AI$2:$AI$61,$A42),Dashboard!$AI$2:$AI$61,0),COLUMNS($D42:AD42)))&amp;"/"&amp;INDEX(Beheer!$B$7:$B$36,COLUMNS($D42:AD42)))</f>
        <v/>
      </c>
      <c r="AE42" s="95" t="str" cm="1">
        <f t="array" ref="AE42">IF(OR($A42="",COLUMNS($D42:AE42)&gt;Beheer!$C$4),"",N(INDEX(Dashboard!$C$2:$AF$61,MATCH(LARGE(Dashboard!$AI$2:$AI$61,$A42),Dashboard!$AI$2:$AI$61,0),COLUMNS($D42:AE42)))&amp;"/"&amp;INDEX(Beheer!$B$7:$B$36,COLUMNS($D42:AE42)))</f>
        <v/>
      </c>
      <c r="AF42" s="95" t="str" cm="1">
        <f t="array" ref="AF42">IF(OR($A42="",COLUMNS($D42:AF42)&gt;Beheer!$C$4),"",N(INDEX(Dashboard!$C$2:$AF$61,MATCH(LARGE(Dashboard!$AI$2:$AI$61,$A42),Dashboard!$AI$2:$AI$61,0),COLUMNS($D42:AF42)))&amp;"/"&amp;INDEX(Beheer!$B$7:$B$36,COLUMNS($D42:AF42)))</f>
        <v/>
      </c>
      <c r="AG42" s="95" t="str" cm="1">
        <f t="array" ref="AG42">IF(OR($A42="",COLUMNS($D42:AG42)&gt;Beheer!$C$4),"",N(INDEX(Dashboard!$C$2:$AF$61,MATCH(LARGE(Dashboard!$AI$2:$AI$61,$A42),Dashboard!$AI$2:$AI$61,0),COLUMNS($D42:AG42)))&amp;"/"&amp;INDEX(Beheer!$B$7:$B$36,COLUMNS($D42:AG42)))</f>
        <v/>
      </c>
    </row>
    <row r="43" spans="1:33" ht="24" customHeight="1" thickBot="1" x14ac:dyDescent="0.5">
      <c r="A43" s="98" t="str">
        <f>IF(ROWS($A$2:A43)&gt;COUNTA(Beheer!$F$7:$F$66),"",ROWS($A$2:A43))</f>
        <v/>
      </c>
      <c r="B43" s="101" t="str">
        <f>IF($A43="","",INDEX(Dashboard!$A$2:$A$61,MATCH(LARGE(Dashboard!$AI$2:$AI$61,$A43),Dashboard!$AI$2:$AI$61,0)))</f>
        <v/>
      </c>
      <c r="C43" s="96" t="str">
        <f>IF($A43="","",INDEX(Dashboard!$AG$2:$AG$61,MATCH(LARGE(Dashboard!$AI$2:$AI$61,$A43),Dashboard!$AI$2:$AI$61,0))&amp;" / "&amp;INDEX(Dashboard!$AH$2:$AH$61,MATCH(LARGE(Dashboard!$AI$2:$AI$61,$A43),Dashboard!$AI$2:$AI$61,0)))</f>
        <v/>
      </c>
      <c r="D43" s="97" t="str" cm="1">
        <f t="array" ref="D43">IF(OR($A43="",COLUMNS($D43:D43)&gt;Beheer!$C$4),"",N(INDEX(Dashboard!$C$2:$AF$61,MATCH(LARGE(Dashboard!$AI$2:$AI$61,$A43),Dashboard!$AI$2:$AI$61,0),COLUMNS($D43:D43)))&amp;"/"&amp;INDEX(Beheer!$B$7:$B$36,COLUMNS($D43:D43)))</f>
        <v/>
      </c>
      <c r="E43" s="97" t="str" cm="1">
        <f t="array" ref="E43">IF(OR($A43="",COLUMNS($D43:E43)&gt;Beheer!$C$4),"",N(INDEX(Dashboard!$C$2:$AF$61,MATCH(LARGE(Dashboard!$AI$2:$AI$61,$A43),Dashboard!$AI$2:$AI$61,0),COLUMNS($D43:E43)))&amp;"/"&amp;INDEX(Beheer!$B$7:$B$36,COLUMNS($D43:E43)))</f>
        <v/>
      </c>
      <c r="F43" s="97" t="str" cm="1">
        <f t="array" ref="F43">IF(OR($A43="",COLUMNS($D43:F43)&gt;Beheer!$C$4),"",N(INDEX(Dashboard!$C$2:$AF$61,MATCH(LARGE(Dashboard!$AI$2:$AI$61,$A43),Dashboard!$AI$2:$AI$61,0),COLUMNS($D43:F43)))&amp;"/"&amp;INDEX(Beheer!$B$7:$B$36,COLUMNS($D43:F43)))</f>
        <v/>
      </c>
      <c r="G43" s="97" t="str" cm="1">
        <f t="array" ref="G43">IF(OR($A43="",COLUMNS($D43:G43)&gt;Beheer!$C$4),"",N(INDEX(Dashboard!$C$2:$AF$61,MATCH(LARGE(Dashboard!$AI$2:$AI$61,$A43),Dashboard!$AI$2:$AI$61,0),COLUMNS($D43:G43)))&amp;"/"&amp;INDEX(Beheer!$B$7:$B$36,COLUMNS($D43:G43)))</f>
        <v/>
      </c>
      <c r="H43" s="97" t="str" cm="1">
        <f t="array" ref="H43">IF(OR($A43="",COLUMNS($D43:H43)&gt;Beheer!$C$4),"",N(INDEX(Dashboard!$C$2:$AF$61,MATCH(LARGE(Dashboard!$AI$2:$AI$61,$A43),Dashboard!$AI$2:$AI$61,0),COLUMNS($D43:H43)))&amp;"/"&amp;INDEX(Beheer!$B$7:$B$36,COLUMNS($D43:H43)))</f>
        <v/>
      </c>
      <c r="I43" s="97" t="str" cm="1">
        <f t="array" ref="I43">IF(OR($A43="",COLUMNS($D43:I43)&gt;Beheer!$C$4),"",N(INDEX(Dashboard!$C$2:$AF$61,MATCH(LARGE(Dashboard!$AI$2:$AI$61,$A43),Dashboard!$AI$2:$AI$61,0),COLUMNS($D43:I43)))&amp;"/"&amp;INDEX(Beheer!$B$7:$B$36,COLUMNS($D43:I43)))</f>
        <v/>
      </c>
      <c r="J43" s="97" t="str" cm="1">
        <f t="array" ref="J43">IF(OR($A43="",COLUMNS($D43:J43)&gt;Beheer!$C$4),"",N(INDEX(Dashboard!$C$2:$AF$61,MATCH(LARGE(Dashboard!$AI$2:$AI$61,$A43),Dashboard!$AI$2:$AI$61,0),COLUMNS($D43:J43)))&amp;"/"&amp;INDEX(Beheer!$B$7:$B$36,COLUMNS($D43:J43)))</f>
        <v/>
      </c>
      <c r="K43" s="97" t="str" cm="1">
        <f t="array" ref="K43">IF(OR($A43="",COLUMNS($D43:K43)&gt;Beheer!$C$4),"",N(INDEX(Dashboard!$C$2:$AF$61,MATCH(LARGE(Dashboard!$AI$2:$AI$61,$A43),Dashboard!$AI$2:$AI$61,0),COLUMNS($D43:K43)))&amp;"/"&amp;INDEX(Beheer!$B$7:$B$36,COLUMNS($D43:K43)))</f>
        <v/>
      </c>
      <c r="L43" s="97" t="str" cm="1">
        <f t="array" ref="L43">IF(OR($A43="",COLUMNS($D43:L43)&gt;Beheer!$C$4),"",N(INDEX(Dashboard!$C$2:$AF$61,MATCH(LARGE(Dashboard!$AI$2:$AI$61,$A43),Dashboard!$AI$2:$AI$61,0),COLUMNS($D43:L43)))&amp;"/"&amp;INDEX(Beheer!$B$7:$B$36,COLUMNS($D43:L43)))</f>
        <v/>
      </c>
      <c r="M43" s="97" t="str" cm="1">
        <f t="array" ref="M43">IF(OR($A43="",COLUMNS($D43:M43)&gt;Beheer!$C$4),"",N(INDEX(Dashboard!$C$2:$AF$61,MATCH(LARGE(Dashboard!$AI$2:$AI$61,$A43),Dashboard!$AI$2:$AI$61,0),COLUMNS($D43:M43)))&amp;"/"&amp;INDEX(Beheer!$B$7:$B$36,COLUMNS($D43:M43)))</f>
        <v/>
      </c>
      <c r="N43" s="97" t="str" cm="1">
        <f t="array" ref="N43">IF(OR($A43="",COLUMNS($D43:N43)&gt;Beheer!$C$4),"",N(INDEX(Dashboard!$C$2:$AF$61,MATCH(LARGE(Dashboard!$AI$2:$AI$61,$A43),Dashboard!$AI$2:$AI$61,0),COLUMNS($D43:N43)))&amp;"/"&amp;INDEX(Beheer!$B$7:$B$36,COLUMNS($D43:N43)))</f>
        <v/>
      </c>
      <c r="O43" s="97" t="str" cm="1">
        <f t="array" ref="O43">IF(OR($A43="",COLUMNS($D43:O43)&gt;Beheer!$C$4),"",N(INDEX(Dashboard!$C$2:$AF$61,MATCH(LARGE(Dashboard!$AI$2:$AI$61,$A43),Dashboard!$AI$2:$AI$61,0),COLUMNS($D43:O43)))&amp;"/"&amp;INDEX(Beheer!$B$7:$B$36,COLUMNS($D43:O43)))</f>
        <v/>
      </c>
      <c r="P43" s="97" t="str" cm="1">
        <f t="array" ref="P43">IF(OR($A43="",COLUMNS($D43:P43)&gt;Beheer!$C$4),"",N(INDEX(Dashboard!$C$2:$AF$61,MATCH(LARGE(Dashboard!$AI$2:$AI$61,$A43),Dashboard!$AI$2:$AI$61,0),COLUMNS($D43:P43)))&amp;"/"&amp;INDEX(Beheer!$B$7:$B$36,COLUMNS($D43:P43)))</f>
        <v/>
      </c>
      <c r="Q43" s="97" t="str" cm="1">
        <f t="array" ref="Q43">IF(OR($A43="",COLUMNS($D43:Q43)&gt;Beheer!$C$4),"",N(INDEX(Dashboard!$C$2:$AF$61,MATCH(LARGE(Dashboard!$AI$2:$AI$61,$A43),Dashboard!$AI$2:$AI$61,0),COLUMNS($D43:Q43)))&amp;"/"&amp;INDEX(Beheer!$B$7:$B$36,COLUMNS($D43:Q43)))</f>
        <v/>
      </c>
      <c r="R43" s="97" t="str" cm="1">
        <f t="array" ref="R43">IF(OR($A43="",COLUMNS($D43:R43)&gt;Beheer!$C$4),"",N(INDEX(Dashboard!$C$2:$AF$61,MATCH(LARGE(Dashboard!$AI$2:$AI$61,$A43),Dashboard!$AI$2:$AI$61,0),COLUMNS($D43:R43)))&amp;"/"&amp;INDEX(Beheer!$B$7:$B$36,COLUMNS($D43:R43)))</f>
        <v/>
      </c>
      <c r="S43" s="97" t="str" cm="1">
        <f t="array" ref="S43">IF(OR($A43="",COLUMNS($D43:S43)&gt;Beheer!$C$4),"",N(INDEX(Dashboard!$C$2:$AF$61,MATCH(LARGE(Dashboard!$AI$2:$AI$61,$A43),Dashboard!$AI$2:$AI$61,0),COLUMNS($D43:S43)))&amp;"/"&amp;INDEX(Beheer!$B$7:$B$36,COLUMNS($D43:S43)))</f>
        <v/>
      </c>
      <c r="T43" s="97" t="str" cm="1">
        <f t="array" ref="T43">IF(OR($A43="",COLUMNS($D43:T43)&gt;Beheer!$C$4),"",N(INDEX(Dashboard!$C$2:$AF$61,MATCH(LARGE(Dashboard!$AI$2:$AI$61,$A43),Dashboard!$AI$2:$AI$61,0),COLUMNS($D43:T43)))&amp;"/"&amp;INDEX(Beheer!$B$7:$B$36,COLUMNS($D43:T43)))</f>
        <v/>
      </c>
      <c r="U43" s="97" t="str" cm="1">
        <f t="array" ref="U43">IF(OR($A43="",COLUMNS($D43:U43)&gt;Beheer!$C$4),"",N(INDEX(Dashboard!$C$2:$AF$61,MATCH(LARGE(Dashboard!$AI$2:$AI$61,$A43),Dashboard!$AI$2:$AI$61,0),COLUMNS($D43:U43)))&amp;"/"&amp;INDEX(Beheer!$B$7:$B$36,COLUMNS($D43:U43)))</f>
        <v/>
      </c>
      <c r="V43" s="97" t="str" cm="1">
        <f t="array" ref="V43">IF(OR($A43="",COLUMNS($D43:V43)&gt;Beheer!$C$4),"",N(INDEX(Dashboard!$C$2:$AF$61,MATCH(LARGE(Dashboard!$AI$2:$AI$61,$A43),Dashboard!$AI$2:$AI$61,0),COLUMNS($D43:V43)))&amp;"/"&amp;INDEX(Beheer!$B$7:$B$36,COLUMNS($D43:V43)))</f>
        <v/>
      </c>
      <c r="W43" s="97" t="str" cm="1">
        <f t="array" ref="W43">IF(OR($A43="",COLUMNS($D43:W43)&gt;Beheer!$C$4),"",N(INDEX(Dashboard!$C$2:$AF$61,MATCH(LARGE(Dashboard!$AI$2:$AI$61,$A43),Dashboard!$AI$2:$AI$61,0),COLUMNS($D43:W43)))&amp;"/"&amp;INDEX(Beheer!$B$7:$B$36,COLUMNS($D43:W43)))</f>
        <v/>
      </c>
      <c r="X43" s="97" t="str" cm="1">
        <f t="array" ref="X43">IF(OR($A43="",COLUMNS($D43:X43)&gt;Beheer!$C$4),"",N(INDEX(Dashboard!$C$2:$AF$61,MATCH(LARGE(Dashboard!$AI$2:$AI$61,$A43),Dashboard!$AI$2:$AI$61,0),COLUMNS($D43:X43)))&amp;"/"&amp;INDEX(Beheer!$B$7:$B$36,COLUMNS($D43:X43)))</f>
        <v/>
      </c>
      <c r="Y43" s="97" t="str" cm="1">
        <f t="array" ref="Y43">IF(OR($A43="",COLUMNS($D43:Y43)&gt;Beheer!$C$4),"",N(INDEX(Dashboard!$C$2:$AF$61,MATCH(LARGE(Dashboard!$AI$2:$AI$61,$A43),Dashboard!$AI$2:$AI$61,0),COLUMNS($D43:Y43)))&amp;"/"&amp;INDEX(Beheer!$B$7:$B$36,COLUMNS($D43:Y43)))</f>
        <v/>
      </c>
      <c r="Z43" s="97" t="str" cm="1">
        <f t="array" ref="Z43">IF(OR($A43="",COLUMNS($D43:Z43)&gt;Beheer!$C$4),"",N(INDEX(Dashboard!$C$2:$AF$61,MATCH(LARGE(Dashboard!$AI$2:$AI$61,$A43),Dashboard!$AI$2:$AI$61,0),COLUMNS($D43:Z43)))&amp;"/"&amp;INDEX(Beheer!$B$7:$B$36,COLUMNS($D43:Z43)))</f>
        <v/>
      </c>
      <c r="AA43" s="97" t="str" cm="1">
        <f t="array" ref="AA43">IF(OR($A43="",COLUMNS($D43:AA43)&gt;Beheer!$C$4),"",N(INDEX(Dashboard!$C$2:$AF$61,MATCH(LARGE(Dashboard!$AI$2:$AI$61,$A43),Dashboard!$AI$2:$AI$61,0),COLUMNS($D43:AA43)))&amp;"/"&amp;INDEX(Beheer!$B$7:$B$36,COLUMNS($D43:AA43)))</f>
        <v/>
      </c>
      <c r="AB43" s="97" t="str" cm="1">
        <f t="array" ref="AB43">IF(OR($A43="",COLUMNS($D43:AB43)&gt;Beheer!$C$4),"",N(INDEX(Dashboard!$C$2:$AF$61,MATCH(LARGE(Dashboard!$AI$2:$AI$61,$A43),Dashboard!$AI$2:$AI$61,0),COLUMNS($D43:AB43)))&amp;"/"&amp;INDEX(Beheer!$B$7:$B$36,COLUMNS($D43:AB43)))</f>
        <v/>
      </c>
      <c r="AC43" s="97" t="str" cm="1">
        <f t="array" ref="AC43">IF(OR($A43="",COLUMNS($D43:AC43)&gt;Beheer!$C$4),"",N(INDEX(Dashboard!$C$2:$AF$61,MATCH(LARGE(Dashboard!$AI$2:$AI$61,$A43),Dashboard!$AI$2:$AI$61,0),COLUMNS($D43:AC43)))&amp;"/"&amp;INDEX(Beheer!$B$7:$B$36,COLUMNS($D43:AC43)))</f>
        <v/>
      </c>
      <c r="AD43" s="97" t="str" cm="1">
        <f t="array" ref="AD43">IF(OR($A43="",COLUMNS($D43:AD43)&gt;Beheer!$C$4),"",N(INDEX(Dashboard!$C$2:$AF$61,MATCH(LARGE(Dashboard!$AI$2:$AI$61,$A43),Dashboard!$AI$2:$AI$61,0),COLUMNS($D43:AD43)))&amp;"/"&amp;INDEX(Beheer!$B$7:$B$36,COLUMNS($D43:AD43)))</f>
        <v/>
      </c>
      <c r="AE43" s="97" t="str" cm="1">
        <f t="array" ref="AE43">IF(OR($A43="",COLUMNS($D43:AE43)&gt;Beheer!$C$4),"",N(INDEX(Dashboard!$C$2:$AF$61,MATCH(LARGE(Dashboard!$AI$2:$AI$61,$A43),Dashboard!$AI$2:$AI$61,0),COLUMNS($D43:AE43)))&amp;"/"&amp;INDEX(Beheer!$B$7:$B$36,COLUMNS($D43:AE43)))</f>
        <v/>
      </c>
      <c r="AF43" s="97" t="str" cm="1">
        <f t="array" ref="AF43">IF(OR($A43="",COLUMNS($D43:AF43)&gt;Beheer!$C$4),"",N(INDEX(Dashboard!$C$2:$AF$61,MATCH(LARGE(Dashboard!$AI$2:$AI$61,$A43),Dashboard!$AI$2:$AI$61,0),COLUMNS($D43:AF43)))&amp;"/"&amp;INDEX(Beheer!$B$7:$B$36,COLUMNS($D43:AF43)))</f>
        <v/>
      </c>
      <c r="AG43" s="97" t="str" cm="1">
        <f t="array" ref="AG43">IF(OR($A43="",COLUMNS($D43:AG43)&gt;Beheer!$C$4),"",N(INDEX(Dashboard!$C$2:$AF$61,MATCH(LARGE(Dashboard!$AI$2:$AI$61,$A43),Dashboard!$AI$2:$AI$61,0),COLUMNS($D43:AG43)))&amp;"/"&amp;INDEX(Beheer!$B$7:$B$36,COLUMNS($D43:AG43)))</f>
        <v/>
      </c>
    </row>
    <row r="44" spans="1:33" ht="24" customHeight="1" thickBot="1" x14ac:dyDescent="0.5">
      <c r="A44" s="99" t="str">
        <f>IF(ROWS($A$2:A44)&gt;COUNTA(Beheer!$F$7:$F$66),"",ROWS($A$2:A44))</f>
        <v/>
      </c>
      <c r="B44" s="102" t="str">
        <f>IF($A44="","",INDEX(Dashboard!$A$2:$A$61,MATCH(LARGE(Dashboard!$AI$2:$AI$61,$A44),Dashboard!$AI$2:$AI$61,0)))</f>
        <v/>
      </c>
      <c r="C44" s="94" t="str">
        <f>IF($A44="","",INDEX(Dashboard!$AG$2:$AG$61,MATCH(LARGE(Dashboard!$AI$2:$AI$61,$A44),Dashboard!$AI$2:$AI$61,0))&amp;" / "&amp;INDEX(Dashboard!$AH$2:$AH$61,MATCH(LARGE(Dashboard!$AI$2:$AI$61,$A44),Dashboard!$AI$2:$AI$61,0)))</f>
        <v/>
      </c>
      <c r="D44" s="95" t="str" cm="1">
        <f t="array" ref="D44">IF(OR($A44="",COLUMNS($D44:D44)&gt;Beheer!$C$4),"",N(INDEX(Dashboard!$C$2:$AF$61,MATCH(LARGE(Dashboard!$AI$2:$AI$61,$A44),Dashboard!$AI$2:$AI$61,0),COLUMNS($D44:D44)))&amp;"/"&amp;INDEX(Beheer!$B$7:$B$36,COLUMNS($D44:D44)))</f>
        <v/>
      </c>
      <c r="E44" s="95" t="str" cm="1">
        <f t="array" ref="E44">IF(OR($A44="",COLUMNS($D44:E44)&gt;Beheer!$C$4),"",N(INDEX(Dashboard!$C$2:$AF$61,MATCH(LARGE(Dashboard!$AI$2:$AI$61,$A44),Dashboard!$AI$2:$AI$61,0),COLUMNS($D44:E44)))&amp;"/"&amp;INDEX(Beheer!$B$7:$B$36,COLUMNS($D44:E44)))</f>
        <v/>
      </c>
      <c r="F44" s="95" t="str" cm="1">
        <f t="array" ref="F44">IF(OR($A44="",COLUMNS($D44:F44)&gt;Beheer!$C$4),"",N(INDEX(Dashboard!$C$2:$AF$61,MATCH(LARGE(Dashboard!$AI$2:$AI$61,$A44),Dashboard!$AI$2:$AI$61,0),COLUMNS($D44:F44)))&amp;"/"&amp;INDEX(Beheer!$B$7:$B$36,COLUMNS($D44:F44)))</f>
        <v/>
      </c>
      <c r="G44" s="95" t="str" cm="1">
        <f t="array" ref="G44">IF(OR($A44="",COLUMNS($D44:G44)&gt;Beheer!$C$4),"",N(INDEX(Dashboard!$C$2:$AF$61,MATCH(LARGE(Dashboard!$AI$2:$AI$61,$A44),Dashboard!$AI$2:$AI$61,0),COLUMNS($D44:G44)))&amp;"/"&amp;INDEX(Beheer!$B$7:$B$36,COLUMNS($D44:G44)))</f>
        <v/>
      </c>
      <c r="H44" s="95" t="str" cm="1">
        <f t="array" ref="H44">IF(OR($A44="",COLUMNS($D44:H44)&gt;Beheer!$C$4),"",N(INDEX(Dashboard!$C$2:$AF$61,MATCH(LARGE(Dashboard!$AI$2:$AI$61,$A44),Dashboard!$AI$2:$AI$61,0),COLUMNS($D44:H44)))&amp;"/"&amp;INDEX(Beheer!$B$7:$B$36,COLUMNS($D44:H44)))</f>
        <v/>
      </c>
      <c r="I44" s="95" t="str" cm="1">
        <f t="array" ref="I44">IF(OR($A44="",COLUMNS($D44:I44)&gt;Beheer!$C$4),"",N(INDEX(Dashboard!$C$2:$AF$61,MATCH(LARGE(Dashboard!$AI$2:$AI$61,$A44),Dashboard!$AI$2:$AI$61,0),COLUMNS($D44:I44)))&amp;"/"&amp;INDEX(Beheer!$B$7:$B$36,COLUMNS($D44:I44)))</f>
        <v/>
      </c>
      <c r="J44" s="95" t="str" cm="1">
        <f t="array" ref="J44">IF(OR($A44="",COLUMNS($D44:J44)&gt;Beheer!$C$4),"",N(INDEX(Dashboard!$C$2:$AF$61,MATCH(LARGE(Dashboard!$AI$2:$AI$61,$A44),Dashboard!$AI$2:$AI$61,0),COLUMNS($D44:J44)))&amp;"/"&amp;INDEX(Beheer!$B$7:$B$36,COLUMNS($D44:J44)))</f>
        <v/>
      </c>
      <c r="K44" s="95" t="str" cm="1">
        <f t="array" ref="K44">IF(OR($A44="",COLUMNS($D44:K44)&gt;Beheer!$C$4),"",N(INDEX(Dashboard!$C$2:$AF$61,MATCH(LARGE(Dashboard!$AI$2:$AI$61,$A44),Dashboard!$AI$2:$AI$61,0),COLUMNS($D44:K44)))&amp;"/"&amp;INDEX(Beheer!$B$7:$B$36,COLUMNS($D44:K44)))</f>
        <v/>
      </c>
      <c r="L44" s="95" t="str" cm="1">
        <f t="array" ref="L44">IF(OR($A44="",COLUMNS($D44:L44)&gt;Beheer!$C$4),"",N(INDEX(Dashboard!$C$2:$AF$61,MATCH(LARGE(Dashboard!$AI$2:$AI$61,$A44),Dashboard!$AI$2:$AI$61,0),COLUMNS($D44:L44)))&amp;"/"&amp;INDEX(Beheer!$B$7:$B$36,COLUMNS($D44:L44)))</f>
        <v/>
      </c>
      <c r="M44" s="95" t="str" cm="1">
        <f t="array" ref="M44">IF(OR($A44="",COLUMNS($D44:M44)&gt;Beheer!$C$4),"",N(INDEX(Dashboard!$C$2:$AF$61,MATCH(LARGE(Dashboard!$AI$2:$AI$61,$A44),Dashboard!$AI$2:$AI$61,0),COLUMNS($D44:M44)))&amp;"/"&amp;INDEX(Beheer!$B$7:$B$36,COLUMNS($D44:M44)))</f>
        <v/>
      </c>
      <c r="N44" s="95" t="str" cm="1">
        <f t="array" ref="N44">IF(OR($A44="",COLUMNS($D44:N44)&gt;Beheer!$C$4),"",N(INDEX(Dashboard!$C$2:$AF$61,MATCH(LARGE(Dashboard!$AI$2:$AI$61,$A44),Dashboard!$AI$2:$AI$61,0),COLUMNS($D44:N44)))&amp;"/"&amp;INDEX(Beheer!$B$7:$B$36,COLUMNS($D44:N44)))</f>
        <v/>
      </c>
      <c r="O44" s="95" t="str" cm="1">
        <f t="array" ref="O44">IF(OR($A44="",COLUMNS($D44:O44)&gt;Beheer!$C$4),"",N(INDEX(Dashboard!$C$2:$AF$61,MATCH(LARGE(Dashboard!$AI$2:$AI$61,$A44),Dashboard!$AI$2:$AI$61,0),COLUMNS($D44:O44)))&amp;"/"&amp;INDEX(Beheer!$B$7:$B$36,COLUMNS($D44:O44)))</f>
        <v/>
      </c>
      <c r="P44" s="95" t="str" cm="1">
        <f t="array" ref="P44">IF(OR($A44="",COLUMNS($D44:P44)&gt;Beheer!$C$4),"",N(INDEX(Dashboard!$C$2:$AF$61,MATCH(LARGE(Dashboard!$AI$2:$AI$61,$A44),Dashboard!$AI$2:$AI$61,0),COLUMNS($D44:P44)))&amp;"/"&amp;INDEX(Beheer!$B$7:$B$36,COLUMNS($D44:P44)))</f>
        <v/>
      </c>
      <c r="Q44" s="95" t="str" cm="1">
        <f t="array" ref="Q44">IF(OR($A44="",COLUMNS($D44:Q44)&gt;Beheer!$C$4),"",N(INDEX(Dashboard!$C$2:$AF$61,MATCH(LARGE(Dashboard!$AI$2:$AI$61,$A44),Dashboard!$AI$2:$AI$61,0),COLUMNS($D44:Q44)))&amp;"/"&amp;INDEX(Beheer!$B$7:$B$36,COLUMNS($D44:Q44)))</f>
        <v/>
      </c>
      <c r="R44" s="95" t="str" cm="1">
        <f t="array" ref="R44">IF(OR($A44="",COLUMNS($D44:R44)&gt;Beheer!$C$4),"",N(INDEX(Dashboard!$C$2:$AF$61,MATCH(LARGE(Dashboard!$AI$2:$AI$61,$A44),Dashboard!$AI$2:$AI$61,0),COLUMNS($D44:R44)))&amp;"/"&amp;INDEX(Beheer!$B$7:$B$36,COLUMNS($D44:R44)))</f>
        <v/>
      </c>
      <c r="S44" s="95" t="str" cm="1">
        <f t="array" ref="S44">IF(OR($A44="",COLUMNS($D44:S44)&gt;Beheer!$C$4),"",N(INDEX(Dashboard!$C$2:$AF$61,MATCH(LARGE(Dashboard!$AI$2:$AI$61,$A44),Dashboard!$AI$2:$AI$61,0),COLUMNS($D44:S44)))&amp;"/"&amp;INDEX(Beheer!$B$7:$B$36,COLUMNS($D44:S44)))</f>
        <v/>
      </c>
      <c r="T44" s="95" t="str" cm="1">
        <f t="array" ref="T44">IF(OR($A44="",COLUMNS($D44:T44)&gt;Beheer!$C$4),"",N(INDEX(Dashboard!$C$2:$AF$61,MATCH(LARGE(Dashboard!$AI$2:$AI$61,$A44),Dashboard!$AI$2:$AI$61,0),COLUMNS($D44:T44)))&amp;"/"&amp;INDEX(Beheer!$B$7:$B$36,COLUMNS($D44:T44)))</f>
        <v/>
      </c>
      <c r="U44" s="95" t="str" cm="1">
        <f t="array" ref="U44">IF(OR($A44="",COLUMNS($D44:U44)&gt;Beheer!$C$4),"",N(INDEX(Dashboard!$C$2:$AF$61,MATCH(LARGE(Dashboard!$AI$2:$AI$61,$A44),Dashboard!$AI$2:$AI$61,0),COLUMNS($D44:U44)))&amp;"/"&amp;INDEX(Beheer!$B$7:$B$36,COLUMNS($D44:U44)))</f>
        <v/>
      </c>
      <c r="V44" s="95" t="str" cm="1">
        <f t="array" ref="V44">IF(OR($A44="",COLUMNS($D44:V44)&gt;Beheer!$C$4),"",N(INDEX(Dashboard!$C$2:$AF$61,MATCH(LARGE(Dashboard!$AI$2:$AI$61,$A44),Dashboard!$AI$2:$AI$61,0),COLUMNS($D44:V44)))&amp;"/"&amp;INDEX(Beheer!$B$7:$B$36,COLUMNS($D44:V44)))</f>
        <v/>
      </c>
      <c r="W44" s="95" t="str" cm="1">
        <f t="array" ref="W44">IF(OR($A44="",COLUMNS($D44:W44)&gt;Beheer!$C$4),"",N(INDEX(Dashboard!$C$2:$AF$61,MATCH(LARGE(Dashboard!$AI$2:$AI$61,$A44),Dashboard!$AI$2:$AI$61,0),COLUMNS($D44:W44)))&amp;"/"&amp;INDEX(Beheer!$B$7:$B$36,COLUMNS($D44:W44)))</f>
        <v/>
      </c>
      <c r="X44" s="95" t="str" cm="1">
        <f t="array" ref="X44">IF(OR($A44="",COLUMNS($D44:X44)&gt;Beheer!$C$4),"",N(INDEX(Dashboard!$C$2:$AF$61,MATCH(LARGE(Dashboard!$AI$2:$AI$61,$A44),Dashboard!$AI$2:$AI$61,0),COLUMNS($D44:X44)))&amp;"/"&amp;INDEX(Beheer!$B$7:$B$36,COLUMNS($D44:X44)))</f>
        <v/>
      </c>
      <c r="Y44" s="95" t="str" cm="1">
        <f t="array" ref="Y44">IF(OR($A44="",COLUMNS($D44:Y44)&gt;Beheer!$C$4),"",N(INDEX(Dashboard!$C$2:$AF$61,MATCH(LARGE(Dashboard!$AI$2:$AI$61,$A44),Dashboard!$AI$2:$AI$61,0),COLUMNS($D44:Y44)))&amp;"/"&amp;INDEX(Beheer!$B$7:$B$36,COLUMNS($D44:Y44)))</f>
        <v/>
      </c>
      <c r="Z44" s="95" t="str" cm="1">
        <f t="array" ref="Z44">IF(OR($A44="",COLUMNS($D44:Z44)&gt;Beheer!$C$4),"",N(INDEX(Dashboard!$C$2:$AF$61,MATCH(LARGE(Dashboard!$AI$2:$AI$61,$A44),Dashboard!$AI$2:$AI$61,0),COLUMNS($D44:Z44)))&amp;"/"&amp;INDEX(Beheer!$B$7:$B$36,COLUMNS($D44:Z44)))</f>
        <v/>
      </c>
      <c r="AA44" s="95" t="str" cm="1">
        <f t="array" ref="AA44">IF(OR($A44="",COLUMNS($D44:AA44)&gt;Beheer!$C$4),"",N(INDEX(Dashboard!$C$2:$AF$61,MATCH(LARGE(Dashboard!$AI$2:$AI$61,$A44),Dashboard!$AI$2:$AI$61,0),COLUMNS($D44:AA44)))&amp;"/"&amp;INDEX(Beheer!$B$7:$B$36,COLUMNS($D44:AA44)))</f>
        <v/>
      </c>
      <c r="AB44" s="95" t="str" cm="1">
        <f t="array" ref="AB44">IF(OR($A44="",COLUMNS($D44:AB44)&gt;Beheer!$C$4),"",N(INDEX(Dashboard!$C$2:$AF$61,MATCH(LARGE(Dashboard!$AI$2:$AI$61,$A44),Dashboard!$AI$2:$AI$61,0),COLUMNS($D44:AB44)))&amp;"/"&amp;INDEX(Beheer!$B$7:$B$36,COLUMNS($D44:AB44)))</f>
        <v/>
      </c>
      <c r="AC44" s="95" t="str" cm="1">
        <f t="array" ref="AC44">IF(OR($A44="",COLUMNS($D44:AC44)&gt;Beheer!$C$4),"",N(INDEX(Dashboard!$C$2:$AF$61,MATCH(LARGE(Dashboard!$AI$2:$AI$61,$A44),Dashboard!$AI$2:$AI$61,0),COLUMNS($D44:AC44)))&amp;"/"&amp;INDEX(Beheer!$B$7:$B$36,COLUMNS($D44:AC44)))</f>
        <v/>
      </c>
      <c r="AD44" s="95" t="str" cm="1">
        <f t="array" ref="AD44">IF(OR($A44="",COLUMNS($D44:AD44)&gt;Beheer!$C$4),"",N(INDEX(Dashboard!$C$2:$AF$61,MATCH(LARGE(Dashboard!$AI$2:$AI$61,$A44),Dashboard!$AI$2:$AI$61,0),COLUMNS($D44:AD44)))&amp;"/"&amp;INDEX(Beheer!$B$7:$B$36,COLUMNS($D44:AD44)))</f>
        <v/>
      </c>
      <c r="AE44" s="95" t="str" cm="1">
        <f t="array" ref="AE44">IF(OR($A44="",COLUMNS($D44:AE44)&gt;Beheer!$C$4),"",N(INDEX(Dashboard!$C$2:$AF$61,MATCH(LARGE(Dashboard!$AI$2:$AI$61,$A44),Dashboard!$AI$2:$AI$61,0),COLUMNS($D44:AE44)))&amp;"/"&amp;INDEX(Beheer!$B$7:$B$36,COLUMNS($D44:AE44)))</f>
        <v/>
      </c>
      <c r="AF44" s="95" t="str" cm="1">
        <f t="array" ref="AF44">IF(OR($A44="",COLUMNS($D44:AF44)&gt;Beheer!$C$4),"",N(INDEX(Dashboard!$C$2:$AF$61,MATCH(LARGE(Dashboard!$AI$2:$AI$61,$A44),Dashboard!$AI$2:$AI$61,0),COLUMNS($D44:AF44)))&amp;"/"&amp;INDEX(Beheer!$B$7:$B$36,COLUMNS($D44:AF44)))</f>
        <v/>
      </c>
      <c r="AG44" s="95" t="str" cm="1">
        <f t="array" ref="AG44">IF(OR($A44="",COLUMNS($D44:AG44)&gt;Beheer!$C$4),"",N(INDEX(Dashboard!$C$2:$AF$61,MATCH(LARGE(Dashboard!$AI$2:$AI$61,$A44),Dashboard!$AI$2:$AI$61,0),COLUMNS($D44:AG44)))&amp;"/"&amp;INDEX(Beheer!$B$7:$B$36,COLUMNS($D44:AG44)))</f>
        <v/>
      </c>
    </row>
    <row r="45" spans="1:33" ht="24" customHeight="1" thickBot="1" x14ac:dyDescent="0.5">
      <c r="A45" s="98" t="str">
        <f>IF(ROWS($A$2:A45)&gt;COUNTA(Beheer!$F$7:$F$66),"",ROWS($A$2:A45))</f>
        <v/>
      </c>
      <c r="B45" s="101" t="str">
        <f>IF($A45="","",INDEX(Dashboard!$A$2:$A$61,MATCH(LARGE(Dashboard!$AI$2:$AI$61,$A45),Dashboard!$AI$2:$AI$61,0)))</f>
        <v/>
      </c>
      <c r="C45" s="96" t="str">
        <f>IF($A45="","",INDEX(Dashboard!$AG$2:$AG$61,MATCH(LARGE(Dashboard!$AI$2:$AI$61,$A45),Dashboard!$AI$2:$AI$61,0))&amp;" / "&amp;INDEX(Dashboard!$AH$2:$AH$61,MATCH(LARGE(Dashboard!$AI$2:$AI$61,$A45),Dashboard!$AI$2:$AI$61,0)))</f>
        <v/>
      </c>
      <c r="D45" s="97" t="str" cm="1">
        <f t="array" ref="D45">IF(OR($A45="",COLUMNS($D45:D45)&gt;Beheer!$C$4),"",N(INDEX(Dashboard!$C$2:$AF$61,MATCH(LARGE(Dashboard!$AI$2:$AI$61,$A45),Dashboard!$AI$2:$AI$61,0),COLUMNS($D45:D45)))&amp;"/"&amp;INDEX(Beheer!$B$7:$B$36,COLUMNS($D45:D45)))</f>
        <v/>
      </c>
      <c r="E45" s="97" t="str" cm="1">
        <f t="array" ref="E45">IF(OR($A45="",COLUMNS($D45:E45)&gt;Beheer!$C$4),"",N(INDEX(Dashboard!$C$2:$AF$61,MATCH(LARGE(Dashboard!$AI$2:$AI$61,$A45),Dashboard!$AI$2:$AI$61,0),COLUMNS($D45:E45)))&amp;"/"&amp;INDEX(Beheer!$B$7:$B$36,COLUMNS($D45:E45)))</f>
        <v/>
      </c>
      <c r="F45" s="97" t="str" cm="1">
        <f t="array" ref="F45">IF(OR($A45="",COLUMNS($D45:F45)&gt;Beheer!$C$4),"",N(INDEX(Dashboard!$C$2:$AF$61,MATCH(LARGE(Dashboard!$AI$2:$AI$61,$A45),Dashboard!$AI$2:$AI$61,0),COLUMNS($D45:F45)))&amp;"/"&amp;INDEX(Beheer!$B$7:$B$36,COLUMNS($D45:F45)))</f>
        <v/>
      </c>
      <c r="G45" s="97" t="str" cm="1">
        <f t="array" ref="G45">IF(OR($A45="",COLUMNS($D45:G45)&gt;Beheer!$C$4),"",N(INDEX(Dashboard!$C$2:$AF$61,MATCH(LARGE(Dashboard!$AI$2:$AI$61,$A45),Dashboard!$AI$2:$AI$61,0),COLUMNS($D45:G45)))&amp;"/"&amp;INDEX(Beheer!$B$7:$B$36,COLUMNS($D45:G45)))</f>
        <v/>
      </c>
      <c r="H45" s="97" t="str" cm="1">
        <f t="array" ref="H45">IF(OR($A45="",COLUMNS($D45:H45)&gt;Beheer!$C$4),"",N(INDEX(Dashboard!$C$2:$AF$61,MATCH(LARGE(Dashboard!$AI$2:$AI$61,$A45),Dashboard!$AI$2:$AI$61,0),COLUMNS($D45:H45)))&amp;"/"&amp;INDEX(Beheer!$B$7:$B$36,COLUMNS($D45:H45)))</f>
        <v/>
      </c>
      <c r="I45" s="97" t="str" cm="1">
        <f t="array" ref="I45">IF(OR($A45="",COLUMNS($D45:I45)&gt;Beheer!$C$4),"",N(INDEX(Dashboard!$C$2:$AF$61,MATCH(LARGE(Dashboard!$AI$2:$AI$61,$A45),Dashboard!$AI$2:$AI$61,0),COLUMNS($D45:I45)))&amp;"/"&amp;INDEX(Beheer!$B$7:$B$36,COLUMNS($D45:I45)))</f>
        <v/>
      </c>
      <c r="J45" s="97" t="str" cm="1">
        <f t="array" ref="J45">IF(OR($A45="",COLUMNS($D45:J45)&gt;Beheer!$C$4),"",N(INDEX(Dashboard!$C$2:$AF$61,MATCH(LARGE(Dashboard!$AI$2:$AI$61,$A45),Dashboard!$AI$2:$AI$61,0),COLUMNS($D45:J45)))&amp;"/"&amp;INDEX(Beheer!$B$7:$B$36,COLUMNS($D45:J45)))</f>
        <v/>
      </c>
      <c r="K45" s="97" t="str" cm="1">
        <f t="array" ref="K45">IF(OR($A45="",COLUMNS($D45:K45)&gt;Beheer!$C$4),"",N(INDEX(Dashboard!$C$2:$AF$61,MATCH(LARGE(Dashboard!$AI$2:$AI$61,$A45),Dashboard!$AI$2:$AI$61,0),COLUMNS($D45:K45)))&amp;"/"&amp;INDEX(Beheer!$B$7:$B$36,COLUMNS($D45:K45)))</f>
        <v/>
      </c>
      <c r="L45" s="97" t="str" cm="1">
        <f t="array" ref="L45">IF(OR($A45="",COLUMNS($D45:L45)&gt;Beheer!$C$4),"",N(INDEX(Dashboard!$C$2:$AF$61,MATCH(LARGE(Dashboard!$AI$2:$AI$61,$A45),Dashboard!$AI$2:$AI$61,0),COLUMNS($D45:L45)))&amp;"/"&amp;INDEX(Beheer!$B$7:$B$36,COLUMNS($D45:L45)))</f>
        <v/>
      </c>
      <c r="M45" s="97" t="str" cm="1">
        <f t="array" ref="M45">IF(OR($A45="",COLUMNS($D45:M45)&gt;Beheer!$C$4),"",N(INDEX(Dashboard!$C$2:$AF$61,MATCH(LARGE(Dashboard!$AI$2:$AI$61,$A45),Dashboard!$AI$2:$AI$61,0),COLUMNS($D45:M45)))&amp;"/"&amp;INDEX(Beheer!$B$7:$B$36,COLUMNS($D45:M45)))</f>
        <v/>
      </c>
      <c r="N45" s="97" t="str" cm="1">
        <f t="array" ref="N45">IF(OR($A45="",COLUMNS($D45:N45)&gt;Beheer!$C$4),"",N(INDEX(Dashboard!$C$2:$AF$61,MATCH(LARGE(Dashboard!$AI$2:$AI$61,$A45),Dashboard!$AI$2:$AI$61,0),COLUMNS($D45:N45)))&amp;"/"&amp;INDEX(Beheer!$B$7:$B$36,COLUMNS($D45:N45)))</f>
        <v/>
      </c>
      <c r="O45" s="97" t="str" cm="1">
        <f t="array" ref="O45">IF(OR($A45="",COLUMNS($D45:O45)&gt;Beheer!$C$4),"",N(INDEX(Dashboard!$C$2:$AF$61,MATCH(LARGE(Dashboard!$AI$2:$AI$61,$A45),Dashboard!$AI$2:$AI$61,0),COLUMNS($D45:O45)))&amp;"/"&amp;INDEX(Beheer!$B$7:$B$36,COLUMNS($D45:O45)))</f>
        <v/>
      </c>
      <c r="P45" s="97" t="str" cm="1">
        <f t="array" ref="P45">IF(OR($A45="",COLUMNS($D45:P45)&gt;Beheer!$C$4),"",N(INDEX(Dashboard!$C$2:$AF$61,MATCH(LARGE(Dashboard!$AI$2:$AI$61,$A45),Dashboard!$AI$2:$AI$61,0),COLUMNS($D45:P45)))&amp;"/"&amp;INDEX(Beheer!$B$7:$B$36,COLUMNS($D45:P45)))</f>
        <v/>
      </c>
      <c r="Q45" s="97" t="str" cm="1">
        <f t="array" ref="Q45">IF(OR($A45="",COLUMNS($D45:Q45)&gt;Beheer!$C$4),"",N(INDEX(Dashboard!$C$2:$AF$61,MATCH(LARGE(Dashboard!$AI$2:$AI$61,$A45),Dashboard!$AI$2:$AI$61,0),COLUMNS($D45:Q45)))&amp;"/"&amp;INDEX(Beheer!$B$7:$B$36,COLUMNS($D45:Q45)))</f>
        <v/>
      </c>
      <c r="R45" s="97" t="str" cm="1">
        <f t="array" ref="R45">IF(OR($A45="",COLUMNS($D45:R45)&gt;Beheer!$C$4),"",N(INDEX(Dashboard!$C$2:$AF$61,MATCH(LARGE(Dashboard!$AI$2:$AI$61,$A45),Dashboard!$AI$2:$AI$61,0),COLUMNS($D45:R45)))&amp;"/"&amp;INDEX(Beheer!$B$7:$B$36,COLUMNS($D45:R45)))</f>
        <v/>
      </c>
      <c r="S45" s="97" t="str" cm="1">
        <f t="array" ref="S45">IF(OR($A45="",COLUMNS($D45:S45)&gt;Beheer!$C$4),"",N(INDEX(Dashboard!$C$2:$AF$61,MATCH(LARGE(Dashboard!$AI$2:$AI$61,$A45),Dashboard!$AI$2:$AI$61,0),COLUMNS($D45:S45)))&amp;"/"&amp;INDEX(Beheer!$B$7:$B$36,COLUMNS($D45:S45)))</f>
        <v/>
      </c>
      <c r="T45" s="97" t="str" cm="1">
        <f t="array" ref="T45">IF(OR($A45="",COLUMNS($D45:T45)&gt;Beheer!$C$4),"",N(INDEX(Dashboard!$C$2:$AF$61,MATCH(LARGE(Dashboard!$AI$2:$AI$61,$A45),Dashboard!$AI$2:$AI$61,0),COLUMNS($D45:T45)))&amp;"/"&amp;INDEX(Beheer!$B$7:$B$36,COLUMNS($D45:T45)))</f>
        <v/>
      </c>
      <c r="U45" s="97" t="str" cm="1">
        <f t="array" ref="U45">IF(OR($A45="",COLUMNS($D45:U45)&gt;Beheer!$C$4),"",N(INDEX(Dashboard!$C$2:$AF$61,MATCH(LARGE(Dashboard!$AI$2:$AI$61,$A45),Dashboard!$AI$2:$AI$61,0),COLUMNS($D45:U45)))&amp;"/"&amp;INDEX(Beheer!$B$7:$B$36,COLUMNS($D45:U45)))</f>
        <v/>
      </c>
      <c r="V45" s="97" t="str" cm="1">
        <f t="array" ref="V45">IF(OR($A45="",COLUMNS($D45:V45)&gt;Beheer!$C$4),"",N(INDEX(Dashboard!$C$2:$AF$61,MATCH(LARGE(Dashboard!$AI$2:$AI$61,$A45),Dashboard!$AI$2:$AI$61,0),COLUMNS($D45:V45)))&amp;"/"&amp;INDEX(Beheer!$B$7:$B$36,COLUMNS($D45:V45)))</f>
        <v/>
      </c>
      <c r="W45" s="97" t="str" cm="1">
        <f t="array" ref="W45">IF(OR($A45="",COLUMNS($D45:W45)&gt;Beheer!$C$4),"",N(INDEX(Dashboard!$C$2:$AF$61,MATCH(LARGE(Dashboard!$AI$2:$AI$61,$A45),Dashboard!$AI$2:$AI$61,0),COLUMNS($D45:W45)))&amp;"/"&amp;INDEX(Beheer!$B$7:$B$36,COLUMNS($D45:W45)))</f>
        <v/>
      </c>
      <c r="X45" s="97" t="str" cm="1">
        <f t="array" ref="X45">IF(OR($A45="",COLUMNS($D45:X45)&gt;Beheer!$C$4),"",N(INDEX(Dashboard!$C$2:$AF$61,MATCH(LARGE(Dashboard!$AI$2:$AI$61,$A45),Dashboard!$AI$2:$AI$61,0),COLUMNS($D45:X45)))&amp;"/"&amp;INDEX(Beheer!$B$7:$B$36,COLUMNS($D45:X45)))</f>
        <v/>
      </c>
      <c r="Y45" s="97" t="str" cm="1">
        <f t="array" ref="Y45">IF(OR($A45="",COLUMNS($D45:Y45)&gt;Beheer!$C$4),"",N(INDEX(Dashboard!$C$2:$AF$61,MATCH(LARGE(Dashboard!$AI$2:$AI$61,$A45),Dashboard!$AI$2:$AI$61,0),COLUMNS($D45:Y45)))&amp;"/"&amp;INDEX(Beheer!$B$7:$B$36,COLUMNS($D45:Y45)))</f>
        <v/>
      </c>
      <c r="Z45" s="97" t="str" cm="1">
        <f t="array" ref="Z45">IF(OR($A45="",COLUMNS($D45:Z45)&gt;Beheer!$C$4),"",N(INDEX(Dashboard!$C$2:$AF$61,MATCH(LARGE(Dashboard!$AI$2:$AI$61,$A45),Dashboard!$AI$2:$AI$61,0),COLUMNS($D45:Z45)))&amp;"/"&amp;INDEX(Beheer!$B$7:$B$36,COLUMNS($D45:Z45)))</f>
        <v/>
      </c>
      <c r="AA45" s="97" t="str" cm="1">
        <f t="array" ref="AA45">IF(OR($A45="",COLUMNS($D45:AA45)&gt;Beheer!$C$4),"",N(INDEX(Dashboard!$C$2:$AF$61,MATCH(LARGE(Dashboard!$AI$2:$AI$61,$A45),Dashboard!$AI$2:$AI$61,0),COLUMNS($D45:AA45)))&amp;"/"&amp;INDEX(Beheer!$B$7:$B$36,COLUMNS($D45:AA45)))</f>
        <v/>
      </c>
      <c r="AB45" s="97" t="str" cm="1">
        <f t="array" ref="AB45">IF(OR($A45="",COLUMNS($D45:AB45)&gt;Beheer!$C$4),"",N(INDEX(Dashboard!$C$2:$AF$61,MATCH(LARGE(Dashboard!$AI$2:$AI$61,$A45),Dashboard!$AI$2:$AI$61,0),COLUMNS($D45:AB45)))&amp;"/"&amp;INDEX(Beheer!$B$7:$B$36,COLUMNS($D45:AB45)))</f>
        <v/>
      </c>
      <c r="AC45" s="97" t="str" cm="1">
        <f t="array" ref="AC45">IF(OR($A45="",COLUMNS($D45:AC45)&gt;Beheer!$C$4),"",N(INDEX(Dashboard!$C$2:$AF$61,MATCH(LARGE(Dashboard!$AI$2:$AI$61,$A45),Dashboard!$AI$2:$AI$61,0),COLUMNS($D45:AC45)))&amp;"/"&amp;INDEX(Beheer!$B$7:$B$36,COLUMNS($D45:AC45)))</f>
        <v/>
      </c>
      <c r="AD45" s="97" t="str" cm="1">
        <f t="array" ref="AD45">IF(OR($A45="",COLUMNS($D45:AD45)&gt;Beheer!$C$4),"",N(INDEX(Dashboard!$C$2:$AF$61,MATCH(LARGE(Dashboard!$AI$2:$AI$61,$A45),Dashboard!$AI$2:$AI$61,0),COLUMNS($D45:AD45)))&amp;"/"&amp;INDEX(Beheer!$B$7:$B$36,COLUMNS($D45:AD45)))</f>
        <v/>
      </c>
      <c r="AE45" s="97" t="str" cm="1">
        <f t="array" ref="AE45">IF(OR($A45="",COLUMNS($D45:AE45)&gt;Beheer!$C$4),"",N(INDEX(Dashboard!$C$2:$AF$61,MATCH(LARGE(Dashboard!$AI$2:$AI$61,$A45),Dashboard!$AI$2:$AI$61,0),COLUMNS($D45:AE45)))&amp;"/"&amp;INDEX(Beheer!$B$7:$B$36,COLUMNS($D45:AE45)))</f>
        <v/>
      </c>
      <c r="AF45" s="97" t="str" cm="1">
        <f t="array" ref="AF45">IF(OR($A45="",COLUMNS($D45:AF45)&gt;Beheer!$C$4),"",N(INDEX(Dashboard!$C$2:$AF$61,MATCH(LARGE(Dashboard!$AI$2:$AI$61,$A45),Dashboard!$AI$2:$AI$61,0),COLUMNS($D45:AF45)))&amp;"/"&amp;INDEX(Beheer!$B$7:$B$36,COLUMNS($D45:AF45)))</f>
        <v/>
      </c>
      <c r="AG45" s="97" t="str" cm="1">
        <f t="array" ref="AG45">IF(OR($A45="",COLUMNS($D45:AG45)&gt;Beheer!$C$4),"",N(INDEX(Dashboard!$C$2:$AF$61,MATCH(LARGE(Dashboard!$AI$2:$AI$61,$A45),Dashboard!$AI$2:$AI$61,0),COLUMNS($D45:AG45)))&amp;"/"&amp;INDEX(Beheer!$B$7:$B$36,COLUMNS($D45:AG45)))</f>
        <v/>
      </c>
    </row>
    <row r="46" spans="1:33" ht="24" customHeight="1" thickBot="1" x14ac:dyDescent="0.5">
      <c r="A46" s="99" t="str">
        <f>IF(ROWS($A$2:A46)&gt;COUNTA(Beheer!$F$7:$F$66),"",ROWS($A$2:A46))</f>
        <v/>
      </c>
      <c r="B46" s="102" t="str">
        <f>IF($A46="","",INDEX(Dashboard!$A$2:$A$61,MATCH(LARGE(Dashboard!$AI$2:$AI$61,$A46),Dashboard!$AI$2:$AI$61,0)))</f>
        <v/>
      </c>
      <c r="C46" s="94" t="str">
        <f>IF($A46="","",INDEX(Dashboard!$AG$2:$AG$61,MATCH(LARGE(Dashboard!$AI$2:$AI$61,$A46),Dashboard!$AI$2:$AI$61,0))&amp;" / "&amp;INDEX(Dashboard!$AH$2:$AH$61,MATCH(LARGE(Dashboard!$AI$2:$AI$61,$A46),Dashboard!$AI$2:$AI$61,0)))</f>
        <v/>
      </c>
      <c r="D46" s="95" t="str" cm="1">
        <f t="array" ref="D46">IF(OR($A46="",COLUMNS($D46:D46)&gt;Beheer!$C$4),"",N(INDEX(Dashboard!$C$2:$AF$61,MATCH(LARGE(Dashboard!$AI$2:$AI$61,$A46),Dashboard!$AI$2:$AI$61,0),COLUMNS($D46:D46)))&amp;"/"&amp;INDEX(Beheer!$B$7:$B$36,COLUMNS($D46:D46)))</f>
        <v/>
      </c>
      <c r="E46" s="95" t="str" cm="1">
        <f t="array" ref="E46">IF(OR($A46="",COLUMNS($D46:E46)&gt;Beheer!$C$4),"",N(INDEX(Dashboard!$C$2:$AF$61,MATCH(LARGE(Dashboard!$AI$2:$AI$61,$A46),Dashboard!$AI$2:$AI$61,0),COLUMNS($D46:E46)))&amp;"/"&amp;INDEX(Beheer!$B$7:$B$36,COLUMNS($D46:E46)))</f>
        <v/>
      </c>
      <c r="F46" s="95" t="str" cm="1">
        <f t="array" ref="F46">IF(OR($A46="",COLUMNS($D46:F46)&gt;Beheer!$C$4),"",N(INDEX(Dashboard!$C$2:$AF$61,MATCH(LARGE(Dashboard!$AI$2:$AI$61,$A46),Dashboard!$AI$2:$AI$61,0),COLUMNS($D46:F46)))&amp;"/"&amp;INDEX(Beheer!$B$7:$B$36,COLUMNS($D46:F46)))</f>
        <v/>
      </c>
      <c r="G46" s="95" t="str" cm="1">
        <f t="array" ref="G46">IF(OR($A46="",COLUMNS($D46:G46)&gt;Beheer!$C$4),"",N(INDEX(Dashboard!$C$2:$AF$61,MATCH(LARGE(Dashboard!$AI$2:$AI$61,$A46),Dashboard!$AI$2:$AI$61,0),COLUMNS($D46:G46)))&amp;"/"&amp;INDEX(Beheer!$B$7:$B$36,COLUMNS($D46:G46)))</f>
        <v/>
      </c>
      <c r="H46" s="95" t="str" cm="1">
        <f t="array" ref="H46">IF(OR($A46="",COLUMNS($D46:H46)&gt;Beheer!$C$4),"",N(INDEX(Dashboard!$C$2:$AF$61,MATCH(LARGE(Dashboard!$AI$2:$AI$61,$A46),Dashboard!$AI$2:$AI$61,0),COLUMNS($D46:H46)))&amp;"/"&amp;INDEX(Beheer!$B$7:$B$36,COLUMNS($D46:H46)))</f>
        <v/>
      </c>
      <c r="I46" s="95" t="str" cm="1">
        <f t="array" ref="I46">IF(OR($A46="",COLUMNS($D46:I46)&gt;Beheer!$C$4),"",N(INDEX(Dashboard!$C$2:$AF$61,MATCH(LARGE(Dashboard!$AI$2:$AI$61,$A46),Dashboard!$AI$2:$AI$61,0),COLUMNS($D46:I46)))&amp;"/"&amp;INDEX(Beheer!$B$7:$B$36,COLUMNS($D46:I46)))</f>
        <v/>
      </c>
      <c r="J46" s="95" t="str" cm="1">
        <f t="array" ref="J46">IF(OR($A46="",COLUMNS($D46:J46)&gt;Beheer!$C$4),"",N(INDEX(Dashboard!$C$2:$AF$61,MATCH(LARGE(Dashboard!$AI$2:$AI$61,$A46),Dashboard!$AI$2:$AI$61,0),COLUMNS($D46:J46)))&amp;"/"&amp;INDEX(Beheer!$B$7:$B$36,COLUMNS($D46:J46)))</f>
        <v/>
      </c>
      <c r="K46" s="95" t="str" cm="1">
        <f t="array" ref="K46">IF(OR($A46="",COLUMNS($D46:K46)&gt;Beheer!$C$4),"",N(INDEX(Dashboard!$C$2:$AF$61,MATCH(LARGE(Dashboard!$AI$2:$AI$61,$A46),Dashboard!$AI$2:$AI$61,0),COLUMNS($D46:K46)))&amp;"/"&amp;INDEX(Beheer!$B$7:$B$36,COLUMNS($D46:K46)))</f>
        <v/>
      </c>
      <c r="L46" s="95" t="str" cm="1">
        <f t="array" ref="L46">IF(OR($A46="",COLUMNS($D46:L46)&gt;Beheer!$C$4),"",N(INDEX(Dashboard!$C$2:$AF$61,MATCH(LARGE(Dashboard!$AI$2:$AI$61,$A46),Dashboard!$AI$2:$AI$61,0),COLUMNS($D46:L46)))&amp;"/"&amp;INDEX(Beheer!$B$7:$B$36,COLUMNS($D46:L46)))</f>
        <v/>
      </c>
      <c r="M46" s="95" t="str" cm="1">
        <f t="array" ref="M46">IF(OR($A46="",COLUMNS($D46:M46)&gt;Beheer!$C$4),"",N(INDEX(Dashboard!$C$2:$AF$61,MATCH(LARGE(Dashboard!$AI$2:$AI$61,$A46),Dashboard!$AI$2:$AI$61,0),COLUMNS($D46:M46)))&amp;"/"&amp;INDEX(Beheer!$B$7:$B$36,COLUMNS($D46:M46)))</f>
        <v/>
      </c>
      <c r="N46" s="95" t="str" cm="1">
        <f t="array" ref="N46">IF(OR($A46="",COLUMNS($D46:N46)&gt;Beheer!$C$4),"",N(INDEX(Dashboard!$C$2:$AF$61,MATCH(LARGE(Dashboard!$AI$2:$AI$61,$A46),Dashboard!$AI$2:$AI$61,0),COLUMNS($D46:N46)))&amp;"/"&amp;INDEX(Beheer!$B$7:$B$36,COLUMNS($D46:N46)))</f>
        <v/>
      </c>
      <c r="O46" s="95" t="str" cm="1">
        <f t="array" ref="O46">IF(OR($A46="",COLUMNS($D46:O46)&gt;Beheer!$C$4),"",N(INDEX(Dashboard!$C$2:$AF$61,MATCH(LARGE(Dashboard!$AI$2:$AI$61,$A46),Dashboard!$AI$2:$AI$61,0),COLUMNS($D46:O46)))&amp;"/"&amp;INDEX(Beheer!$B$7:$B$36,COLUMNS($D46:O46)))</f>
        <v/>
      </c>
      <c r="P46" s="95" t="str" cm="1">
        <f t="array" ref="P46">IF(OR($A46="",COLUMNS($D46:P46)&gt;Beheer!$C$4),"",N(INDEX(Dashboard!$C$2:$AF$61,MATCH(LARGE(Dashboard!$AI$2:$AI$61,$A46),Dashboard!$AI$2:$AI$61,0),COLUMNS($D46:P46)))&amp;"/"&amp;INDEX(Beheer!$B$7:$B$36,COLUMNS($D46:P46)))</f>
        <v/>
      </c>
      <c r="Q46" s="95" t="str" cm="1">
        <f t="array" ref="Q46">IF(OR($A46="",COLUMNS($D46:Q46)&gt;Beheer!$C$4),"",N(INDEX(Dashboard!$C$2:$AF$61,MATCH(LARGE(Dashboard!$AI$2:$AI$61,$A46),Dashboard!$AI$2:$AI$61,0),COLUMNS($D46:Q46)))&amp;"/"&amp;INDEX(Beheer!$B$7:$B$36,COLUMNS($D46:Q46)))</f>
        <v/>
      </c>
      <c r="R46" s="95" t="str" cm="1">
        <f t="array" ref="R46">IF(OR($A46="",COLUMNS($D46:R46)&gt;Beheer!$C$4),"",N(INDEX(Dashboard!$C$2:$AF$61,MATCH(LARGE(Dashboard!$AI$2:$AI$61,$A46),Dashboard!$AI$2:$AI$61,0),COLUMNS($D46:R46)))&amp;"/"&amp;INDEX(Beheer!$B$7:$B$36,COLUMNS($D46:R46)))</f>
        <v/>
      </c>
      <c r="S46" s="95" t="str" cm="1">
        <f t="array" ref="S46">IF(OR($A46="",COLUMNS($D46:S46)&gt;Beheer!$C$4),"",N(INDEX(Dashboard!$C$2:$AF$61,MATCH(LARGE(Dashboard!$AI$2:$AI$61,$A46),Dashboard!$AI$2:$AI$61,0),COLUMNS($D46:S46)))&amp;"/"&amp;INDEX(Beheer!$B$7:$B$36,COLUMNS($D46:S46)))</f>
        <v/>
      </c>
      <c r="T46" s="95" t="str" cm="1">
        <f t="array" ref="T46">IF(OR($A46="",COLUMNS($D46:T46)&gt;Beheer!$C$4),"",N(INDEX(Dashboard!$C$2:$AF$61,MATCH(LARGE(Dashboard!$AI$2:$AI$61,$A46),Dashboard!$AI$2:$AI$61,0),COLUMNS($D46:T46)))&amp;"/"&amp;INDEX(Beheer!$B$7:$B$36,COLUMNS($D46:T46)))</f>
        <v/>
      </c>
      <c r="U46" s="95" t="str" cm="1">
        <f t="array" ref="U46">IF(OR($A46="",COLUMNS($D46:U46)&gt;Beheer!$C$4),"",N(INDEX(Dashboard!$C$2:$AF$61,MATCH(LARGE(Dashboard!$AI$2:$AI$61,$A46),Dashboard!$AI$2:$AI$61,0),COLUMNS($D46:U46)))&amp;"/"&amp;INDEX(Beheer!$B$7:$B$36,COLUMNS($D46:U46)))</f>
        <v/>
      </c>
      <c r="V46" s="95" t="str" cm="1">
        <f t="array" ref="V46">IF(OR($A46="",COLUMNS($D46:V46)&gt;Beheer!$C$4),"",N(INDEX(Dashboard!$C$2:$AF$61,MATCH(LARGE(Dashboard!$AI$2:$AI$61,$A46),Dashboard!$AI$2:$AI$61,0),COLUMNS($D46:V46)))&amp;"/"&amp;INDEX(Beheer!$B$7:$B$36,COLUMNS($D46:V46)))</f>
        <v/>
      </c>
      <c r="W46" s="95" t="str" cm="1">
        <f t="array" ref="W46">IF(OR($A46="",COLUMNS($D46:W46)&gt;Beheer!$C$4),"",N(INDEX(Dashboard!$C$2:$AF$61,MATCH(LARGE(Dashboard!$AI$2:$AI$61,$A46),Dashboard!$AI$2:$AI$61,0),COLUMNS($D46:W46)))&amp;"/"&amp;INDEX(Beheer!$B$7:$B$36,COLUMNS($D46:W46)))</f>
        <v/>
      </c>
      <c r="X46" s="95" t="str" cm="1">
        <f t="array" ref="X46">IF(OR($A46="",COLUMNS($D46:X46)&gt;Beheer!$C$4),"",N(INDEX(Dashboard!$C$2:$AF$61,MATCH(LARGE(Dashboard!$AI$2:$AI$61,$A46),Dashboard!$AI$2:$AI$61,0),COLUMNS($D46:X46)))&amp;"/"&amp;INDEX(Beheer!$B$7:$B$36,COLUMNS($D46:X46)))</f>
        <v/>
      </c>
      <c r="Y46" s="95" t="str" cm="1">
        <f t="array" ref="Y46">IF(OR($A46="",COLUMNS($D46:Y46)&gt;Beheer!$C$4),"",N(INDEX(Dashboard!$C$2:$AF$61,MATCH(LARGE(Dashboard!$AI$2:$AI$61,$A46),Dashboard!$AI$2:$AI$61,0),COLUMNS($D46:Y46)))&amp;"/"&amp;INDEX(Beheer!$B$7:$B$36,COLUMNS($D46:Y46)))</f>
        <v/>
      </c>
      <c r="Z46" s="95" t="str" cm="1">
        <f t="array" ref="Z46">IF(OR($A46="",COLUMNS($D46:Z46)&gt;Beheer!$C$4),"",N(INDEX(Dashboard!$C$2:$AF$61,MATCH(LARGE(Dashboard!$AI$2:$AI$61,$A46),Dashboard!$AI$2:$AI$61,0),COLUMNS($D46:Z46)))&amp;"/"&amp;INDEX(Beheer!$B$7:$B$36,COLUMNS($D46:Z46)))</f>
        <v/>
      </c>
      <c r="AA46" s="95" t="str" cm="1">
        <f t="array" ref="AA46">IF(OR($A46="",COLUMNS($D46:AA46)&gt;Beheer!$C$4),"",N(INDEX(Dashboard!$C$2:$AF$61,MATCH(LARGE(Dashboard!$AI$2:$AI$61,$A46),Dashboard!$AI$2:$AI$61,0),COLUMNS($D46:AA46)))&amp;"/"&amp;INDEX(Beheer!$B$7:$B$36,COLUMNS($D46:AA46)))</f>
        <v/>
      </c>
      <c r="AB46" s="95" t="str" cm="1">
        <f t="array" ref="AB46">IF(OR($A46="",COLUMNS($D46:AB46)&gt;Beheer!$C$4),"",N(INDEX(Dashboard!$C$2:$AF$61,MATCH(LARGE(Dashboard!$AI$2:$AI$61,$A46),Dashboard!$AI$2:$AI$61,0),COLUMNS($D46:AB46)))&amp;"/"&amp;INDEX(Beheer!$B$7:$B$36,COLUMNS($D46:AB46)))</f>
        <v/>
      </c>
      <c r="AC46" s="95" t="str" cm="1">
        <f t="array" ref="AC46">IF(OR($A46="",COLUMNS($D46:AC46)&gt;Beheer!$C$4),"",N(INDEX(Dashboard!$C$2:$AF$61,MATCH(LARGE(Dashboard!$AI$2:$AI$61,$A46),Dashboard!$AI$2:$AI$61,0),COLUMNS($D46:AC46)))&amp;"/"&amp;INDEX(Beheer!$B$7:$B$36,COLUMNS($D46:AC46)))</f>
        <v/>
      </c>
      <c r="AD46" s="95" t="str" cm="1">
        <f t="array" ref="AD46">IF(OR($A46="",COLUMNS($D46:AD46)&gt;Beheer!$C$4),"",N(INDEX(Dashboard!$C$2:$AF$61,MATCH(LARGE(Dashboard!$AI$2:$AI$61,$A46),Dashboard!$AI$2:$AI$61,0),COLUMNS($D46:AD46)))&amp;"/"&amp;INDEX(Beheer!$B$7:$B$36,COLUMNS($D46:AD46)))</f>
        <v/>
      </c>
      <c r="AE46" s="95" t="str" cm="1">
        <f t="array" ref="AE46">IF(OR($A46="",COLUMNS($D46:AE46)&gt;Beheer!$C$4),"",N(INDEX(Dashboard!$C$2:$AF$61,MATCH(LARGE(Dashboard!$AI$2:$AI$61,$A46),Dashboard!$AI$2:$AI$61,0),COLUMNS($D46:AE46)))&amp;"/"&amp;INDEX(Beheer!$B$7:$B$36,COLUMNS($D46:AE46)))</f>
        <v/>
      </c>
      <c r="AF46" s="95" t="str" cm="1">
        <f t="array" ref="AF46">IF(OR($A46="",COLUMNS($D46:AF46)&gt;Beheer!$C$4),"",N(INDEX(Dashboard!$C$2:$AF$61,MATCH(LARGE(Dashboard!$AI$2:$AI$61,$A46),Dashboard!$AI$2:$AI$61,0),COLUMNS($D46:AF46)))&amp;"/"&amp;INDEX(Beheer!$B$7:$B$36,COLUMNS($D46:AF46)))</f>
        <v/>
      </c>
      <c r="AG46" s="95" t="str" cm="1">
        <f t="array" ref="AG46">IF(OR($A46="",COLUMNS($D46:AG46)&gt;Beheer!$C$4),"",N(INDEX(Dashboard!$C$2:$AF$61,MATCH(LARGE(Dashboard!$AI$2:$AI$61,$A46),Dashboard!$AI$2:$AI$61,0),COLUMNS($D46:AG46)))&amp;"/"&amp;INDEX(Beheer!$B$7:$B$36,COLUMNS($D46:AG46)))</f>
        <v/>
      </c>
    </row>
    <row r="47" spans="1:33" ht="24" customHeight="1" thickBot="1" x14ac:dyDescent="0.5">
      <c r="A47" s="98" t="str">
        <f>IF(ROWS($A$2:A47)&gt;COUNTA(Beheer!$F$7:$F$66),"",ROWS($A$2:A47))</f>
        <v/>
      </c>
      <c r="B47" s="101" t="str">
        <f>IF($A47="","",INDEX(Dashboard!$A$2:$A$61,MATCH(LARGE(Dashboard!$AI$2:$AI$61,$A47),Dashboard!$AI$2:$AI$61,0)))</f>
        <v/>
      </c>
      <c r="C47" s="96" t="str">
        <f>IF($A47="","",INDEX(Dashboard!$AG$2:$AG$61,MATCH(LARGE(Dashboard!$AI$2:$AI$61,$A47),Dashboard!$AI$2:$AI$61,0))&amp;" / "&amp;INDEX(Dashboard!$AH$2:$AH$61,MATCH(LARGE(Dashboard!$AI$2:$AI$61,$A47),Dashboard!$AI$2:$AI$61,0)))</f>
        <v/>
      </c>
      <c r="D47" s="97" t="str" cm="1">
        <f t="array" ref="D47">IF(OR($A47="",COLUMNS($D47:D47)&gt;Beheer!$C$4),"",N(INDEX(Dashboard!$C$2:$AF$61,MATCH(LARGE(Dashboard!$AI$2:$AI$61,$A47),Dashboard!$AI$2:$AI$61,0),COLUMNS($D47:D47)))&amp;"/"&amp;INDEX(Beheer!$B$7:$B$36,COLUMNS($D47:D47)))</f>
        <v/>
      </c>
      <c r="E47" s="97" t="str" cm="1">
        <f t="array" ref="E47">IF(OR($A47="",COLUMNS($D47:E47)&gt;Beheer!$C$4),"",N(INDEX(Dashboard!$C$2:$AF$61,MATCH(LARGE(Dashboard!$AI$2:$AI$61,$A47),Dashboard!$AI$2:$AI$61,0),COLUMNS($D47:E47)))&amp;"/"&amp;INDEX(Beheer!$B$7:$B$36,COLUMNS($D47:E47)))</f>
        <v/>
      </c>
      <c r="F47" s="97" t="str" cm="1">
        <f t="array" ref="F47">IF(OR($A47="",COLUMNS($D47:F47)&gt;Beheer!$C$4),"",N(INDEX(Dashboard!$C$2:$AF$61,MATCH(LARGE(Dashboard!$AI$2:$AI$61,$A47),Dashboard!$AI$2:$AI$61,0),COLUMNS($D47:F47)))&amp;"/"&amp;INDEX(Beheer!$B$7:$B$36,COLUMNS($D47:F47)))</f>
        <v/>
      </c>
      <c r="G47" s="97" t="str" cm="1">
        <f t="array" ref="G47">IF(OR($A47="",COLUMNS($D47:G47)&gt;Beheer!$C$4),"",N(INDEX(Dashboard!$C$2:$AF$61,MATCH(LARGE(Dashboard!$AI$2:$AI$61,$A47),Dashboard!$AI$2:$AI$61,0),COLUMNS($D47:G47)))&amp;"/"&amp;INDEX(Beheer!$B$7:$B$36,COLUMNS($D47:G47)))</f>
        <v/>
      </c>
      <c r="H47" s="97" t="str" cm="1">
        <f t="array" ref="H47">IF(OR($A47="",COLUMNS($D47:H47)&gt;Beheer!$C$4),"",N(INDEX(Dashboard!$C$2:$AF$61,MATCH(LARGE(Dashboard!$AI$2:$AI$61,$A47),Dashboard!$AI$2:$AI$61,0),COLUMNS($D47:H47)))&amp;"/"&amp;INDEX(Beheer!$B$7:$B$36,COLUMNS($D47:H47)))</f>
        <v/>
      </c>
      <c r="I47" s="97" t="str" cm="1">
        <f t="array" ref="I47">IF(OR($A47="",COLUMNS($D47:I47)&gt;Beheer!$C$4),"",N(INDEX(Dashboard!$C$2:$AF$61,MATCH(LARGE(Dashboard!$AI$2:$AI$61,$A47),Dashboard!$AI$2:$AI$61,0),COLUMNS($D47:I47)))&amp;"/"&amp;INDEX(Beheer!$B$7:$B$36,COLUMNS($D47:I47)))</f>
        <v/>
      </c>
      <c r="J47" s="97" t="str" cm="1">
        <f t="array" ref="J47">IF(OR($A47="",COLUMNS($D47:J47)&gt;Beheer!$C$4),"",N(INDEX(Dashboard!$C$2:$AF$61,MATCH(LARGE(Dashboard!$AI$2:$AI$61,$A47),Dashboard!$AI$2:$AI$61,0),COLUMNS($D47:J47)))&amp;"/"&amp;INDEX(Beheer!$B$7:$B$36,COLUMNS($D47:J47)))</f>
        <v/>
      </c>
      <c r="K47" s="97" t="str" cm="1">
        <f t="array" ref="K47">IF(OR($A47="",COLUMNS($D47:K47)&gt;Beheer!$C$4),"",N(INDEX(Dashboard!$C$2:$AF$61,MATCH(LARGE(Dashboard!$AI$2:$AI$61,$A47),Dashboard!$AI$2:$AI$61,0),COLUMNS($D47:K47)))&amp;"/"&amp;INDEX(Beheer!$B$7:$B$36,COLUMNS($D47:K47)))</f>
        <v/>
      </c>
      <c r="L47" s="97" t="str" cm="1">
        <f t="array" ref="L47">IF(OR($A47="",COLUMNS($D47:L47)&gt;Beheer!$C$4),"",N(INDEX(Dashboard!$C$2:$AF$61,MATCH(LARGE(Dashboard!$AI$2:$AI$61,$A47),Dashboard!$AI$2:$AI$61,0),COLUMNS($D47:L47)))&amp;"/"&amp;INDEX(Beheer!$B$7:$B$36,COLUMNS($D47:L47)))</f>
        <v/>
      </c>
      <c r="M47" s="97" t="str" cm="1">
        <f t="array" ref="M47">IF(OR($A47="",COLUMNS($D47:M47)&gt;Beheer!$C$4),"",N(INDEX(Dashboard!$C$2:$AF$61,MATCH(LARGE(Dashboard!$AI$2:$AI$61,$A47),Dashboard!$AI$2:$AI$61,0),COLUMNS($D47:M47)))&amp;"/"&amp;INDEX(Beheer!$B$7:$B$36,COLUMNS($D47:M47)))</f>
        <v/>
      </c>
      <c r="N47" s="97" t="str" cm="1">
        <f t="array" ref="N47">IF(OR($A47="",COLUMNS($D47:N47)&gt;Beheer!$C$4),"",N(INDEX(Dashboard!$C$2:$AF$61,MATCH(LARGE(Dashboard!$AI$2:$AI$61,$A47),Dashboard!$AI$2:$AI$61,0),COLUMNS($D47:N47)))&amp;"/"&amp;INDEX(Beheer!$B$7:$B$36,COLUMNS($D47:N47)))</f>
        <v/>
      </c>
      <c r="O47" s="97" t="str" cm="1">
        <f t="array" ref="O47">IF(OR($A47="",COLUMNS($D47:O47)&gt;Beheer!$C$4),"",N(INDEX(Dashboard!$C$2:$AF$61,MATCH(LARGE(Dashboard!$AI$2:$AI$61,$A47),Dashboard!$AI$2:$AI$61,0),COLUMNS($D47:O47)))&amp;"/"&amp;INDEX(Beheer!$B$7:$B$36,COLUMNS($D47:O47)))</f>
        <v/>
      </c>
      <c r="P47" s="97" t="str" cm="1">
        <f t="array" ref="P47">IF(OR($A47="",COLUMNS($D47:P47)&gt;Beheer!$C$4),"",N(INDEX(Dashboard!$C$2:$AF$61,MATCH(LARGE(Dashboard!$AI$2:$AI$61,$A47),Dashboard!$AI$2:$AI$61,0),COLUMNS($D47:P47)))&amp;"/"&amp;INDEX(Beheer!$B$7:$B$36,COLUMNS($D47:P47)))</f>
        <v/>
      </c>
      <c r="Q47" s="97" t="str" cm="1">
        <f t="array" ref="Q47">IF(OR($A47="",COLUMNS($D47:Q47)&gt;Beheer!$C$4),"",N(INDEX(Dashboard!$C$2:$AF$61,MATCH(LARGE(Dashboard!$AI$2:$AI$61,$A47),Dashboard!$AI$2:$AI$61,0),COLUMNS($D47:Q47)))&amp;"/"&amp;INDEX(Beheer!$B$7:$B$36,COLUMNS($D47:Q47)))</f>
        <v/>
      </c>
      <c r="R47" s="97" t="str" cm="1">
        <f t="array" ref="R47">IF(OR($A47="",COLUMNS($D47:R47)&gt;Beheer!$C$4),"",N(INDEX(Dashboard!$C$2:$AF$61,MATCH(LARGE(Dashboard!$AI$2:$AI$61,$A47),Dashboard!$AI$2:$AI$61,0),COLUMNS($D47:R47)))&amp;"/"&amp;INDEX(Beheer!$B$7:$B$36,COLUMNS($D47:R47)))</f>
        <v/>
      </c>
      <c r="S47" s="97" t="str" cm="1">
        <f t="array" ref="S47">IF(OR($A47="",COLUMNS($D47:S47)&gt;Beheer!$C$4),"",N(INDEX(Dashboard!$C$2:$AF$61,MATCH(LARGE(Dashboard!$AI$2:$AI$61,$A47),Dashboard!$AI$2:$AI$61,0),COLUMNS($D47:S47)))&amp;"/"&amp;INDEX(Beheer!$B$7:$B$36,COLUMNS($D47:S47)))</f>
        <v/>
      </c>
      <c r="T47" s="97" t="str" cm="1">
        <f t="array" ref="T47">IF(OR($A47="",COLUMNS($D47:T47)&gt;Beheer!$C$4),"",N(INDEX(Dashboard!$C$2:$AF$61,MATCH(LARGE(Dashboard!$AI$2:$AI$61,$A47),Dashboard!$AI$2:$AI$61,0),COLUMNS($D47:T47)))&amp;"/"&amp;INDEX(Beheer!$B$7:$B$36,COLUMNS($D47:T47)))</f>
        <v/>
      </c>
      <c r="U47" s="97" t="str" cm="1">
        <f t="array" ref="U47">IF(OR($A47="",COLUMNS($D47:U47)&gt;Beheer!$C$4),"",N(INDEX(Dashboard!$C$2:$AF$61,MATCH(LARGE(Dashboard!$AI$2:$AI$61,$A47),Dashboard!$AI$2:$AI$61,0),COLUMNS($D47:U47)))&amp;"/"&amp;INDEX(Beheer!$B$7:$B$36,COLUMNS($D47:U47)))</f>
        <v/>
      </c>
      <c r="V47" s="97" t="str" cm="1">
        <f t="array" ref="V47">IF(OR($A47="",COLUMNS($D47:V47)&gt;Beheer!$C$4),"",N(INDEX(Dashboard!$C$2:$AF$61,MATCH(LARGE(Dashboard!$AI$2:$AI$61,$A47),Dashboard!$AI$2:$AI$61,0),COLUMNS($D47:V47)))&amp;"/"&amp;INDEX(Beheer!$B$7:$B$36,COLUMNS($D47:V47)))</f>
        <v/>
      </c>
      <c r="W47" s="97" t="str" cm="1">
        <f t="array" ref="W47">IF(OR($A47="",COLUMNS($D47:W47)&gt;Beheer!$C$4),"",N(INDEX(Dashboard!$C$2:$AF$61,MATCH(LARGE(Dashboard!$AI$2:$AI$61,$A47),Dashboard!$AI$2:$AI$61,0),COLUMNS($D47:W47)))&amp;"/"&amp;INDEX(Beheer!$B$7:$B$36,COLUMNS($D47:W47)))</f>
        <v/>
      </c>
      <c r="X47" s="97" t="str" cm="1">
        <f t="array" ref="X47">IF(OR($A47="",COLUMNS($D47:X47)&gt;Beheer!$C$4),"",N(INDEX(Dashboard!$C$2:$AF$61,MATCH(LARGE(Dashboard!$AI$2:$AI$61,$A47),Dashboard!$AI$2:$AI$61,0),COLUMNS($D47:X47)))&amp;"/"&amp;INDEX(Beheer!$B$7:$B$36,COLUMNS($D47:X47)))</f>
        <v/>
      </c>
      <c r="Y47" s="97" t="str" cm="1">
        <f t="array" ref="Y47">IF(OR($A47="",COLUMNS($D47:Y47)&gt;Beheer!$C$4),"",N(INDEX(Dashboard!$C$2:$AF$61,MATCH(LARGE(Dashboard!$AI$2:$AI$61,$A47),Dashboard!$AI$2:$AI$61,0),COLUMNS($D47:Y47)))&amp;"/"&amp;INDEX(Beheer!$B$7:$B$36,COLUMNS($D47:Y47)))</f>
        <v/>
      </c>
      <c r="Z47" s="97" t="str" cm="1">
        <f t="array" ref="Z47">IF(OR($A47="",COLUMNS($D47:Z47)&gt;Beheer!$C$4),"",N(INDEX(Dashboard!$C$2:$AF$61,MATCH(LARGE(Dashboard!$AI$2:$AI$61,$A47),Dashboard!$AI$2:$AI$61,0),COLUMNS($D47:Z47)))&amp;"/"&amp;INDEX(Beheer!$B$7:$B$36,COLUMNS($D47:Z47)))</f>
        <v/>
      </c>
      <c r="AA47" s="97" t="str" cm="1">
        <f t="array" ref="AA47">IF(OR($A47="",COLUMNS($D47:AA47)&gt;Beheer!$C$4),"",N(INDEX(Dashboard!$C$2:$AF$61,MATCH(LARGE(Dashboard!$AI$2:$AI$61,$A47),Dashboard!$AI$2:$AI$61,0),COLUMNS($D47:AA47)))&amp;"/"&amp;INDEX(Beheer!$B$7:$B$36,COLUMNS($D47:AA47)))</f>
        <v/>
      </c>
      <c r="AB47" s="97" t="str" cm="1">
        <f t="array" ref="AB47">IF(OR($A47="",COLUMNS($D47:AB47)&gt;Beheer!$C$4),"",N(INDEX(Dashboard!$C$2:$AF$61,MATCH(LARGE(Dashboard!$AI$2:$AI$61,$A47),Dashboard!$AI$2:$AI$61,0),COLUMNS($D47:AB47)))&amp;"/"&amp;INDEX(Beheer!$B$7:$B$36,COLUMNS($D47:AB47)))</f>
        <v/>
      </c>
      <c r="AC47" s="97" t="str" cm="1">
        <f t="array" ref="AC47">IF(OR($A47="",COLUMNS($D47:AC47)&gt;Beheer!$C$4),"",N(INDEX(Dashboard!$C$2:$AF$61,MATCH(LARGE(Dashboard!$AI$2:$AI$61,$A47),Dashboard!$AI$2:$AI$61,0),COLUMNS($D47:AC47)))&amp;"/"&amp;INDEX(Beheer!$B$7:$B$36,COLUMNS($D47:AC47)))</f>
        <v/>
      </c>
      <c r="AD47" s="97" t="str" cm="1">
        <f t="array" ref="AD47">IF(OR($A47="",COLUMNS($D47:AD47)&gt;Beheer!$C$4),"",N(INDEX(Dashboard!$C$2:$AF$61,MATCH(LARGE(Dashboard!$AI$2:$AI$61,$A47),Dashboard!$AI$2:$AI$61,0),COLUMNS($D47:AD47)))&amp;"/"&amp;INDEX(Beheer!$B$7:$B$36,COLUMNS($D47:AD47)))</f>
        <v/>
      </c>
      <c r="AE47" s="97" t="str" cm="1">
        <f t="array" ref="AE47">IF(OR($A47="",COLUMNS($D47:AE47)&gt;Beheer!$C$4),"",N(INDEX(Dashboard!$C$2:$AF$61,MATCH(LARGE(Dashboard!$AI$2:$AI$61,$A47),Dashboard!$AI$2:$AI$61,0),COLUMNS($D47:AE47)))&amp;"/"&amp;INDEX(Beheer!$B$7:$B$36,COLUMNS($D47:AE47)))</f>
        <v/>
      </c>
      <c r="AF47" s="97" t="str" cm="1">
        <f t="array" ref="AF47">IF(OR($A47="",COLUMNS($D47:AF47)&gt;Beheer!$C$4),"",N(INDEX(Dashboard!$C$2:$AF$61,MATCH(LARGE(Dashboard!$AI$2:$AI$61,$A47),Dashboard!$AI$2:$AI$61,0),COLUMNS($D47:AF47)))&amp;"/"&amp;INDEX(Beheer!$B$7:$B$36,COLUMNS($D47:AF47)))</f>
        <v/>
      </c>
      <c r="AG47" s="97" t="str" cm="1">
        <f t="array" ref="AG47">IF(OR($A47="",COLUMNS($D47:AG47)&gt;Beheer!$C$4),"",N(INDEX(Dashboard!$C$2:$AF$61,MATCH(LARGE(Dashboard!$AI$2:$AI$61,$A47),Dashboard!$AI$2:$AI$61,0),COLUMNS($D47:AG47)))&amp;"/"&amp;INDEX(Beheer!$B$7:$B$36,COLUMNS($D47:AG47)))</f>
        <v/>
      </c>
    </row>
    <row r="48" spans="1:33" ht="24" customHeight="1" thickBot="1" x14ac:dyDescent="0.5">
      <c r="A48" s="99" t="str">
        <f>IF(ROWS($A$2:A48)&gt;COUNTA(Beheer!$F$7:$F$66),"",ROWS($A$2:A48))</f>
        <v/>
      </c>
      <c r="B48" s="102" t="str">
        <f>IF($A48="","",INDEX(Dashboard!$A$2:$A$61,MATCH(LARGE(Dashboard!$AI$2:$AI$61,$A48),Dashboard!$AI$2:$AI$61,0)))</f>
        <v/>
      </c>
      <c r="C48" s="94" t="str">
        <f>IF($A48="","",INDEX(Dashboard!$AG$2:$AG$61,MATCH(LARGE(Dashboard!$AI$2:$AI$61,$A48),Dashboard!$AI$2:$AI$61,0))&amp;" / "&amp;INDEX(Dashboard!$AH$2:$AH$61,MATCH(LARGE(Dashboard!$AI$2:$AI$61,$A48),Dashboard!$AI$2:$AI$61,0)))</f>
        <v/>
      </c>
      <c r="D48" s="95" t="str" cm="1">
        <f t="array" ref="D48">IF(OR($A48="",COLUMNS($D48:D48)&gt;Beheer!$C$4),"",N(INDEX(Dashboard!$C$2:$AF$61,MATCH(LARGE(Dashboard!$AI$2:$AI$61,$A48),Dashboard!$AI$2:$AI$61,0),COLUMNS($D48:D48)))&amp;"/"&amp;INDEX(Beheer!$B$7:$B$36,COLUMNS($D48:D48)))</f>
        <v/>
      </c>
      <c r="E48" s="95" t="str" cm="1">
        <f t="array" ref="E48">IF(OR($A48="",COLUMNS($D48:E48)&gt;Beheer!$C$4),"",N(INDEX(Dashboard!$C$2:$AF$61,MATCH(LARGE(Dashboard!$AI$2:$AI$61,$A48),Dashboard!$AI$2:$AI$61,0),COLUMNS($D48:E48)))&amp;"/"&amp;INDEX(Beheer!$B$7:$B$36,COLUMNS($D48:E48)))</f>
        <v/>
      </c>
      <c r="F48" s="95" t="str" cm="1">
        <f t="array" ref="F48">IF(OR($A48="",COLUMNS($D48:F48)&gt;Beheer!$C$4),"",N(INDEX(Dashboard!$C$2:$AF$61,MATCH(LARGE(Dashboard!$AI$2:$AI$61,$A48),Dashboard!$AI$2:$AI$61,0),COLUMNS($D48:F48)))&amp;"/"&amp;INDEX(Beheer!$B$7:$B$36,COLUMNS($D48:F48)))</f>
        <v/>
      </c>
      <c r="G48" s="95" t="str" cm="1">
        <f t="array" ref="G48">IF(OR($A48="",COLUMNS($D48:G48)&gt;Beheer!$C$4),"",N(INDEX(Dashboard!$C$2:$AF$61,MATCH(LARGE(Dashboard!$AI$2:$AI$61,$A48),Dashboard!$AI$2:$AI$61,0),COLUMNS($D48:G48)))&amp;"/"&amp;INDEX(Beheer!$B$7:$B$36,COLUMNS($D48:G48)))</f>
        <v/>
      </c>
      <c r="H48" s="95" t="str" cm="1">
        <f t="array" ref="H48">IF(OR($A48="",COLUMNS($D48:H48)&gt;Beheer!$C$4),"",N(INDEX(Dashboard!$C$2:$AF$61,MATCH(LARGE(Dashboard!$AI$2:$AI$61,$A48),Dashboard!$AI$2:$AI$61,0),COLUMNS($D48:H48)))&amp;"/"&amp;INDEX(Beheer!$B$7:$B$36,COLUMNS($D48:H48)))</f>
        <v/>
      </c>
      <c r="I48" s="95" t="str" cm="1">
        <f t="array" ref="I48">IF(OR($A48="",COLUMNS($D48:I48)&gt;Beheer!$C$4),"",N(INDEX(Dashboard!$C$2:$AF$61,MATCH(LARGE(Dashboard!$AI$2:$AI$61,$A48),Dashboard!$AI$2:$AI$61,0),COLUMNS($D48:I48)))&amp;"/"&amp;INDEX(Beheer!$B$7:$B$36,COLUMNS($D48:I48)))</f>
        <v/>
      </c>
      <c r="J48" s="95" t="str" cm="1">
        <f t="array" ref="J48">IF(OR($A48="",COLUMNS($D48:J48)&gt;Beheer!$C$4),"",N(INDEX(Dashboard!$C$2:$AF$61,MATCH(LARGE(Dashboard!$AI$2:$AI$61,$A48),Dashboard!$AI$2:$AI$61,0),COLUMNS($D48:J48)))&amp;"/"&amp;INDEX(Beheer!$B$7:$B$36,COLUMNS($D48:J48)))</f>
        <v/>
      </c>
      <c r="K48" s="95" t="str" cm="1">
        <f t="array" ref="K48">IF(OR($A48="",COLUMNS($D48:K48)&gt;Beheer!$C$4),"",N(INDEX(Dashboard!$C$2:$AF$61,MATCH(LARGE(Dashboard!$AI$2:$AI$61,$A48),Dashboard!$AI$2:$AI$61,0),COLUMNS($D48:K48)))&amp;"/"&amp;INDEX(Beheer!$B$7:$B$36,COLUMNS($D48:K48)))</f>
        <v/>
      </c>
      <c r="L48" s="95" t="str" cm="1">
        <f t="array" ref="L48">IF(OR($A48="",COLUMNS($D48:L48)&gt;Beheer!$C$4),"",N(INDEX(Dashboard!$C$2:$AF$61,MATCH(LARGE(Dashboard!$AI$2:$AI$61,$A48),Dashboard!$AI$2:$AI$61,0),COLUMNS($D48:L48)))&amp;"/"&amp;INDEX(Beheer!$B$7:$B$36,COLUMNS($D48:L48)))</f>
        <v/>
      </c>
      <c r="M48" s="95" t="str" cm="1">
        <f t="array" ref="M48">IF(OR($A48="",COLUMNS($D48:M48)&gt;Beheer!$C$4),"",N(INDEX(Dashboard!$C$2:$AF$61,MATCH(LARGE(Dashboard!$AI$2:$AI$61,$A48),Dashboard!$AI$2:$AI$61,0),COLUMNS($D48:M48)))&amp;"/"&amp;INDEX(Beheer!$B$7:$B$36,COLUMNS($D48:M48)))</f>
        <v/>
      </c>
      <c r="N48" s="95" t="str" cm="1">
        <f t="array" ref="N48">IF(OR($A48="",COLUMNS($D48:N48)&gt;Beheer!$C$4),"",N(INDEX(Dashboard!$C$2:$AF$61,MATCH(LARGE(Dashboard!$AI$2:$AI$61,$A48),Dashboard!$AI$2:$AI$61,0),COLUMNS($D48:N48)))&amp;"/"&amp;INDEX(Beheer!$B$7:$B$36,COLUMNS($D48:N48)))</f>
        <v/>
      </c>
      <c r="O48" s="95" t="str" cm="1">
        <f t="array" ref="O48">IF(OR($A48="",COLUMNS($D48:O48)&gt;Beheer!$C$4),"",N(INDEX(Dashboard!$C$2:$AF$61,MATCH(LARGE(Dashboard!$AI$2:$AI$61,$A48),Dashboard!$AI$2:$AI$61,0),COLUMNS($D48:O48)))&amp;"/"&amp;INDEX(Beheer!$B$7:$B$36,COLUMNS($D48:O48)))</f>
        <v/>
      </c>
      <c r="P48" s="95" t="str" cm="1">
        <f t="array" ref="P48">IF(OR($A48="",COLUMNS($D48:P48)&gt;Beheer!$C$4),"",N(INDEX(Dashboard!$C$2:$AF$61,MATCH(LARGE(Dashboard!$AI$2:$AI$61,$A48),Dashboard!$AI$2:$AI$61,0),COLUMNS($D48:P48)))&amp;"/"&amp;INDEX(Beheer!$B$7:$B$36,COLUMNS($D48:P48)))</f>
        <v/>
      </c>
      <c r="Q48" s="95" t="str" cm="1">
        <f t="array" ref="Q48">IF(OR($A48="",COLUMNS($D48:Q48)&gt;Beheer!$C$4),"",N(INDEX(Dashboard!$C$2:$AF$61,MATCH(LARGE(Dashboard!$AI$2:$AI$61,$A48),Dashboard!$AI$2:$AI$61,0),COLUMNS($D48:Q48)))&amp;"/"&amp;INDEX(Beheer!$B$7:$B$36,COLUMNS($D48:Q48)))</f>
        <v/>
      </c>
      <c r="R48" s="95" t="str" cm="1">
        <f t="array" ref="R48">IF(OR($A48="",COLUMNS($D48:R48)&gt;Beheer!$C$4),"",N(INDEX(Dashboard!$C$2:$AF$61,MATCH(LARGE(Dashboard!$AI$2:$AI$61,$A48),Dashboard!$AI$2:$AI$61,0),COLUMNS($D48:R48)))&amp;"/"&amp;INDEX(Beheer!$B$7:$B$36,COLUMNS($D48:R48)))</f>
        <v/>
      </c>
      <c r="S48" s="95" t="str" cm="1">
        <f t="array" ref="S48">IF(OR($A48="",COLUMNS($D48:S48)&gt;Beheer!$C$4),"",N(INDEX(Dashboard!$C$2:$AF$61,MATCH(LARGE(Dashboard!$AI$2:$AI$61,$A48),Dashboard!$AI$2:$AI$61,0),COLUMNS($D48:S48)))&amp;"/"&amp;INDEX(Beheer!$B$7:$B$36,COLUMNS($D48:S48)))</f>
        <v/>
      </c>
      <c r="T48" s="95" t="str" cm="1">
        <f t="array" ref="T48">IF(OR($A48="",COLUMNS($D48:T48)&gt;Beheer!$C$4),"",N(INDEX(Dashboard!$C$2:$AF$61,MATCH(LARGE(Dashboard!$AI$2:$AI$61,$A48),Dashboard!$AI$2:$AI$61,0),COLUMNS($D48:T48)))&amp;"/"&amp;INDEX(Beheer!$B$7:$B$36,COLUMNS($D48:T48)))</f>
        <v/>
      </c>
      <c r="U48" s="95" t="str" cm="1">
        <f t="array" ref="U48">IF(OR($A48="",COLUMNS($D48:U48)&gt;Beheer!$C$4),"",N(INDEX(Dashboard!$C$2:$AF$61,MATCH(LARGE(Dashboard!$AI$2:$AI$61,$A48),Dashboard!$AI$2:$AI$61,0),COLUMNS($D48:U48)))&amp;"/"&amp;INDEX(Beheer!$B$7:$B$36,COLUMNS($D48:U48)))</f>
        <v/>
      </c>
      <c r="V48" s="95" t="str" cm="1">
        <f t="array" ref="V48">IF(OR($A48="",COLUMNS($D48:V48)&gt;Beheer!$C$4),"",N(INDEX(Dashboard!$C$2:$AF$61,MATCH(LARGE(Dashboard!$AI$2:$AI$61,$A48),Dashboard!$AI$2:$AI$61,0),COLUMNS($D48:V48)))&amp;"/"&amp;INDEX(Beheer!$B$7:$B$36,COLUMNS($D48:V48)))</f>
        <v/>
      </c>
      <c r="W48" s="95" t="str" cm="1">
        <f t="array" ref="W48">IF(OR($A48="",COLUMNS($D48:W48)&gt;Beheer!$C$4),"",N(INDEX(Dashboard!$C$2:$AF$61,MATCH(LARGE(Dashboard!$AI$2:$AI$61,$A48),Dashboard!$AI$2:$AI$61,0),COLUMNS($D48:W48)))&amp;"/"&amp;INDEX(Beheer!$B$7:$B$36,COLUMNS($D48:W48)))</f>
        <v/>
      </c>
      <c r="X48" s="95" t="str" cm="1">
        <f t="array" ref="X48">IF(OR($A48="",COLUMNS($D48:X48)&gt;Beheer!$C$4),"",N(INDEX(Dashboard!$C$2:$AF$61,MATCH(LARGE(Dashboard!$AI$2:$AI$61,$A48),Dashboard!$AI$2:$AI$61,0),COLUMNS($D48:X48)))&amp;"/"&amp;INDEX(Beheer!$B$7:$B$36,COLUMNS($D48:X48)))</f>
        <v/>
      </c>
      <c r="Y48" s="95" t="str" cm="1">
        <f t="array" ref="Y48">IF(OR($A48="",COLUMNS($D48:Y48)&gt;Beheer!$C$4),"",N(INDEX(Dashboard!$C$2:$AF$61,MATCH(LARGE(Dashboard!$AI$2:$AI$61,$A48),Dashboard!$AI$2:$AI$61,0),COLUMNS($D48:Y48)))&amp;"/"&amp;INDEX(Beheer!$B$7:$B$36,COLUMNS($D48:Y48)))</f>
        <v/>
      </c>
      <c r="Z48" s="95" t="str" cm="1">
        <f t="array" ref="Z48">IF(OR($A48="",COLUMNS($D48:Z48)&gt;Beheer!$C$4),"",N(INDEX(Dashboard!$C$2:$AF$61,MATCH(LARGE(Dashboard!$AI$2:$AI$61,$A48),Dashboard!$AI$2:$AI$61,0),COLUMNS($D48:Z48)))&amp;"/"&amp;INDEX(Beheer!$B$7:$B$36,COLUMNS($D48:Z48)))</f>
        <v/>
      </c>
      <c r="AA48" s="95" t="str" cm="1">
        <f t="array" ref="AA48">IF(OR($A48="",COLUMNS($D48:AA48)&gt;Beheer!$C$4),"",N(INDEX(Dashboard!$C$2:$AF$61,MATCH(LARGE(Dashboard!$AI$2:$AI$61,$A48),Dashboard!$AI$2:$AI$61,0),COLUMNS($D48:AA48)))&amp;"/"&amp;INDEX(Beheer!$B$7:$B$36,COLUMNS($D48:AA48)))</f>
        <v/>
      </c>
      <c r="AB48" s="95" t="str" cm="1">
        <f t="array" ref="AB48">IF(OR($A48="",COLUMNS($D48:AB48)&gt;Beheer!$C$4),"",N(INDEX(Dashboard!$C$2:$AF$61,MATCH(LARGE(Dashboard!$AI$2:$AI$61,$A48),Dashboard!$AI$2:$AI$61,0),COLUMNS($D48:AB48)))&amp;"/"&amp;INDEX(Beheer!$B$7:$B$36,COLUMNS($D48:AB48)))</f>
        <v/>
      </c>
      <c r="AC48" s="95" t="str" cm="1">
        <f t="array" ref="AC48">IF(OR($A48="",COLUMNS($D48:AC48)&gt;Beheer!$C$4),"",N(INDEX(Dashboard!$C$2:$AF$61,MATCH(LARGE(Dashboard!$AI$2:$AI$61,$A48),Dashboard!$AI$2:$AI$61,0),COLUMNS($D48:AC48)))&amp;"/"&amp;INDEX(Beheer!$B$7:$B$36,COLUMNS($D48:AC48)))</f>
        <v/>
      </c>
      <c r="AD48" s="95" t="str" cm="1">
        <f t="array" ref="AD48">IF(OR($A48="",COLUMNS($D48:AD48)&gt;Beheer!$C$4),"",N(INDEX(Dashboard!$C$2:$AF$61,MATCH(LARGE(Dashboard!$AI$2:$AI$61,$A48),Dashboard!$AI$2:$AI$61,0),COLUMNS($D48:AD48)))&amp;"/"&amp;INDEX(Beheer!$B$7:$B$36,COLUMNS($D48:AD48)))</f>
        <v/>
      </c>
      <c r="AE48" s="95" t="str" cm="1">
        <f t="array" ref="AE48">IF(OR($A48="",COLUMNS($D48:AE48)&gt;Beheer!$C$4),"",N(INDEX(Dashboard!$C$2:$AF$61,MATCH(LARGE(Dashboard!$AI$2:$AI$61,$A48),Dashboard!$AI$2:$AI$61,0),COLUMNS($D48:AE48)))&amp;"/"&amp;INDEX(Beheer!$B$7:$B$36,COLUMNS($D48:AE48)))</f>
        <v/>
      </c>
      <c r="AF48" s="95" t="str" cm="1">
        <f t="array" ref="AF48">IF(OR($A48="",COLUMNS($D48:AF48)&gt;Beheer!$C$4),"",N(INDEX(Dashboard!$C$2:$AF$61,MATCH(LARGE(Dashboard!$AI$2:$AI$61,$A48),Dashboard!$AI$2:$AI$61,0),COLUMNS($D48:AF48)))&amp;"/"&amp;INDEX(Beheer!$B$7:$B$36,COLUMNS($D48:AF48)))</f>
        <v/>
      </c>
      <c r="AG48" s="95" t="str" cm="1">
        <f t="array" ref="AG48">IF(OR($A48="",COLUMNS($D48:AG48)&gt;Beheer!$C$4),"",N(INDEX(Dashboard!$C$2:$AF$61,MATCH(LARGE(Dashboard!$AI$2:$AI$61,$A48),Dashboard!$AI$2:$AI$61,0),COLUMNS($D48:AG48)))&amp;"/"&amp;INDEX(Beheer!$B$7:$B$36,COLUMNS($D48:AG48)))</f>
        <v/>
      </c>
    </row>
    <row r="49" spans="1:33" ht="24" customHeight="1" thickBot="1" x14ac:dyDescent="0.5">
      <c r="A49" s="98" t="str">
        <f>IF(ROWS($A$2:A49)&gt;COUNTA(Beheer!$F$7:$F$66),"",ROWS($A$2:A49))</f>
        <v/>
      </c>
      <c r="B49" s="101" t="str">
        <f>IF($A49="","",INDEX(Dashboard!$A$2:$A$61,MATCH(LARGE(Dashboard!$AI$2:$AI$61,$A49),Dashboard!$AI$2:$AI$61,0)))</f>
        <v/>
      </c>
      <c r="C49" s="96" t="str">
        <f>IF($A49="","",INDEX(Dashboard!$AG$2:$AG$61,MATCH(LARGE(Dashboard!$AI$2:$AI$61,$A49),Dashboard!$AI$2:$AI$61,0))&amp;" / "&amp;INDEX(Dashboard!$AH$2:$AH$61,MATCH(LARGE(Dashboard!$AI$2:$AI$61,$A49),Dashboard!$AI$2:$AI$61,0)))</f>
        <v/>
      </c>
      <c r="D49" s="97" t="str" cm="1">
        <f t="array" ref="D49">IF(OR($A49="",COLUMNS($D49:D49)&gt;Beheer!$C$4),"",N(INDEX(Dashboard!$C$2:$AF$61,MATCH(LARGE(Dashboard!$AI$2:$AI$61,$A49),Dashboard!$AI$2:$AI$61,0),COLUMNS($D49:D49)))&amp;"/"&amp;INDEX(Beheer!$B$7:$B$36,COLUMNS($D49:D49)))</f>
        <v/>
      </c>
      <c r="E49" s="97" t="str" cm="1">
        <f t="array" ref="E49">IF(OR($A49="",COLUMNS($D49:E49)&gt;Beheer!$C$4),"",N(INDEX(Dashboard!$C$2:$AF$61,MATCH(LARGE(Dashboard!$AI$2:$AI$61,$A49),Dashboard!$AI$2:$AI$61,0),COLUMNS($D49:E49)))&amp;"/"&amp;INDEX(Beheer!$B$7:$B$36,COLUMNS($D49:E49)))</f>
        <v/>
      </c>
      <c r="F49" s="97" t="str" cm="1">
        <f t="array" ref="F49">IF(OR($A49="",COLUMNS($D49:F49)&gt;Beheer!$C$4),"",N(INDEX(Dashboard!$C$2:$AF$61,MATCH(LARGE(Dashboard!$AI$2:$AI$61,$A49),Dashboard!$AI$2:$AI$61,0),COLUMNS($D49:F49)))&amp;"/"&amp;INDEX(Beheer!$B$7:$B$36,COLUMNS($D49:F49)))</f>
        <v/>
      </c>
      <c r="G49" s="97" t="str" cm="1">
        <f t="array" ref="G49">IF(OR($A49="",COLUMNS($D49:G49)&gt;Beheer!$C$4),"",N(INDEX(Dashboard!$C$2:$AF$61,MATCH(LARGE(Dashboard!$AI$2:$AI$61,$A49),Dashboard!$AI$2:$AI$61,0),COLUMNS($D49:G49)))&amp;"/"&amp;INDEX(Beheer!$B$7:$B$36,COLUMNS($D49:G49)))</f>
        <v/>
      </c>
      <c r="H49" s="97" t="str" cm="1">
        <f t="array" ref="H49">IF(OR($A49="",COLUMNS($D49:H49)&gt;Beheer!$C$4),"",N(INDEX(Dashboard!$C$2:$AF$61,MATCH(LARGE(Dashboard!$AI$2:$AI$61,$A49),Dashboard!$AI$2:$AI$61,0),COLUMNS($D49:H49)))&amp;"/"&amp;INDEX(Beheer!$B$7:$B$36,COLUMNS($D49:H49)))</f>
        <v/>
      </c>
      <c r="I49" s="97" t="str" cm="1">
        <f t="array" ref="I49">IF(OR($A49="",COLUMNS($D49:I49)&gt;Beheer!$C$4),"",N(INDEX(Dashboard!$C$2:$AF$61,MATCH(LARGE(Dashboard!$AI$2:$AI$61,$A49),Dashboard!$AI$2:$AI$61,0),COLUMNS($D49:I49)))&amp;"/"&amp;INDEX(Beheer!$B$7:$B$36,COLUMNS($D49:I49)))</f>
        <v/>
      </c>
      <c r="J49" s="97" t="str" cm="1">
        <f t="array" ref="J49">IF(OR($A49="",COLUMNS($D49:J49)&gt;Beheer!$C$4),"",N(INDEX(Dashboard!$C$2:$AF$61,MATCH(LARGE(Dashboard!$AI$2:$AI$61,$A49),Dashboard!$AI$2:$AI$61,0),COLUMNS($D49:J49)))&amp;"/"&amp;INDEX(Beheer!$B$7:$B$36,COLUMNS($D49:J49)))</f>
        <v/>
      </c>
      <c r="K49" s="97" t="str" cm="1">
        <f t="array" ref="K49">IF(OR($A49="",COLUMNS($D49:K49)&gt;Beheer!$C$4),"",N(INDEX(Dashboard!$C$2:$AF$61,MATCH(LARGE(Dashboard!$AI$2:$AI$61,$A49),Dashboard!$AI$2:$AI$61,0),COLUMNS($D49:K49)))&amp;"/"&amp;INDEX(Beheer!$B$7:$B$36,COLUMNS($D49:K49)))</f>
        <v/>
      </c>
      <c r="L49" s="97" t="str" cm="1">
        <f t="array" ref="L49">IF(OR($A49="",COLUMNS($D49:L49)&gt;Beheer!$C$4),"",N(INDEX(Dashboard!$C$2:$AF$61,MATCH(LARGE(Dashboard!$AI$2:$AI$61,$A49),Dashboard!$AI$2:$AI$61,0),COLUMNS($D49:L49)))&amp;"/"&amp;INDEX(Beheer!$B$7:$B$36,COLUMNS($D49:L49)))</f>
        <v/>
      </c>
      <c r="M49" s="97" t="str" cm="1">
        <f t="array" ref="M49">IF(OR($A49="",COLUMNS($D49:M49)&gt;Beheer!$C$4),"",N(INDEX(Dashboard!$C$2:$AF$61,MATCH(LARGE(Dashboard!$AI$2:$AI$61,$A49),Dashboard!$AI$2:$AI$61,0),COLUMNS($D49:M49)))&amp;"/"&amp;INDEX(Beheer!$B$7:$B$36,COLUMNS($D49:M49)))</f>
        <v/>
      </c>
      <c r="N49" s="97" t="str" cm="1">
        <f t="array" ref="N49">IF(OR($A49="",COLUMNS($D49:N49)&gt;Beheer!$C$4),"",N(INDEX(Dashboard!$C$2:$AF$61,MATCH(LARGE(Dashboard!$AI$2:$AI$61,$A49),Dashboard!$AI$2:$AI$61,0),COLUMNS($D49:N49)))&amp;"/"&amp;INDEX(Beheer!$B$7:$B$36,COLUMNS($D49:N49)))</f>
        <v/>
      </c>
      <c r="O49" s="97" t="str" cm="1">
        <f t="array" ref="O49">IF(OR($A49="",COLUMNS($D49:O49)&gt;Beheer!$C$4),"",N(INDEX(Dashboard!$C$2:$AF$61,MATCH(LARGE(Dashboard!$AI$2:$AI$61,$A49),Dashboard!$AI$2:$AI$61,0),COLUMNS($D49:O49)))&amp;"/"&amp;INDEX(Beheer!$B$7:$B$36,COLUMNS($D49:O49)))</f>
        <v/>
      </c>
      <c r="P49" s="97" t="str" cm="1">
        <f t="array" ref="P49">IF(OR($A49="",COLUMNS($D49:P49)&gt;Beheer!$C$4),"",N(INDEX(Dashboard!$C$2:$AF$61,MATCH(LARGE(Dashboard!$AI$2:$AI$61,$A49),Dashboard!$AI$2:$AI$61,0),COLUMNS($D49:P49)))&amp;"/"&amp;INDEX(Beheer!$B$7:$B$36,COLUMNS($D49:P49)))</f>
        <v/>
      </c>
      <c r="Q49" s="97" t="str" cm="1">
        <f t="array" ref="Q49">IF(OR($A49="",COLUMNS($D49:Q49)&gt;Beheer!$C$4),"",N(INDEX(Dashboard!$C$2:$AF$61,MATCH(LARGE(Dashboard!$AI$2:$AI$61,$A49),Dashboard!$AI$2:$AI$61,0),COLUMNS($D49:Q49)))&amp;"/"&amp;INDEX(Beheer!$B$7:$B$36,COLUMNS($D49:Q49)))</f>
        <v/>
      </c>
      <c r="R49" s="97" t="str" cm="1">
        <f t="array" ref="R49">IF(OR($A49="",COLUMNS($D49:R49)&gt;Beheer!$C$4),"",N(INDEX(Dashboard!$C$2:$AF$61,MATCH(LARGE(Dashboard!$AI$2:$AI$61,$A49),Dashboard!$AI$2:$AI$61,0),COLUMNS($D49:R49)))&amp;"/"&amp;INDEX(Beheer!$B$7:$B$36,COLUMNS($D49:R49)))</f>
        <v/>
      </c>
      <c r="S49" s="97" t="str" cm="1">
        <f t="array" ref="S49">IF(OR($A49="",COLUMNS($D49:S49)&gt;Beheer!$C$4),"",N(INDEX(Dashboard!$C$2:$AF$61,MATCH(LARGE(Dashboard!$AI$2:$AI$61,$A49),Dashboard!$AI$2:$AI$61,0),COLUMNS($D49:S49)))&amp;"/"&amp;INDEX(Beheer!$B$7:$B$36,COLUMNS($D49:S49)))</f>
        <v/>
      </c>
      <c r="T49" s="97" t="str" cm="1">
        <f t="array" ref="T49">IF(OR($A49="",COLUMNS($D49:T49)&gt;Beheer!$C$4),"",N(INDEX(Dashboard!$C$2:$AF$61,MATCH(LARGE(Dashboard!$AI$2:$AI$61,$A49),Dashboard!$AI$2:$AI$61,0),COLUMNS($D49:T49)))&amp;"/"&amp;INDEX(Beheer!$B$7:$B$36,COLUMNS($D49:T49)))</f>
        <v/>
      </c>
      <c r="U49" s="97" t="str" cm="1">
        <f t="array" ref="U49">IF(OR($A49="",COLUMNS($D49:U49)&gt;Beheer!$C$4),"",N(INDEX(Dashboard!$C$2:$AF$61,MATCH(LARGE(Dashboard!$AI$2:$AI$61,$A49),Dashboard!$AI$2:$AI$61,0),COLUMNS($D49:U49)))&amp;"/"&amp;INDEX(Beheer!$B$7:$B$36,COLUMNS($D49:U49)))</f>
        <v/>
      </c>
      <c r="V49" s="97" t="str" cm="1">
        <f t="array" ref="V49">IF(OR($A49="",COLUMNS($D49:V49)&gt;Beheer!$C$4),"",N(INDEX(Dashboard!$C$2:$AF$61,MATCH(LARGE(Dashboard!$AI$2:$AI$61,$A49),Dashboard!$AI$2:$AI$61,0),COLUMNS($D49:V49)))&amp;"/"&amp;INDEX(Beheer!$B$7:$B$36,COLUMNS($D49:V49)))</f>
        <v/>
      </c>
      <c r="W49" s="97" t="str" cm="1">
        <f t="array" ref="W49">IF(OR($A49="",COLUMNS($D49:W49)&gt;Beheer!$C$4),"",N(INDEX(Dashboard!$C$2:$AF$61,MATCH(LARGE(Dashboard!$AI$2:$AI$61,$A49),Dashboard!$AI$2:$AI$61,0),COLUMNS($D49:W49)))&amp;"/"&amp;INDEX(Beheer!$B$7:$B$36,COLUMNS($D49:W49)))</f>
        <v/>
      </c>
      <c r="X49" s="97" t="str" cm="1">
        <f t="array" ref="X49">IF(OR($A49="",COLUMNS($D49:X49)&gt;Beheer!$C$4),"",N(INDEX(Dashboard!$C$2:$AF$61,MATCH(LARGE(Dashboard!$AI$2:$AI$61,$A49),Dashboard!$AI$2:$AI$61,0),COLUMNS($D49:X49)))&amp;"/"&amp;INDEX(Beheer!$B$7:$B$36,COLUMNS($D49:X49)))</f>
        <v/>
      </c>
      <c r="Y49" s="97" t="str" cm="1">
        <f t="array" ref="Y49">IF(OR($A49="",COLUMNS($D49:Y49)&gt;Beheer!$C$4),"",N(INDEX(Dashboard!$C$2:$AF$61,MATCH(LARGE(Dashboard!$AI$2:$AI$61,$A49),Dashboard!$AI$2:$AI$61,0),COLUMNS($D49:Y49)))&amp;"/"&amp;INDEX(Beheer!$B$7:$B$36,COLUMNS($D49:Y49)))</f>
        <v/>
      </c>
      <c r="Z49" s="97" t="str" cm="1">
        <f t="array" ref="Z49">IF(OR($A49="",COLUMNS($D49:Z49)&gt;Beheer!$C$4),"",N(INDEX(Dashboard!$C$2:$AF$61,MATCH(LARGE(Dashboard!$AI$2:$AI$61,$A49),Dashboard!$AI$2:$AI$61,0),COLUMNS($D49:Z49)))&amp;"/"&amp;INDEX(Beheer!$B$7:$B$36,COLUMNS($D49:Z49)))</f>
        <v/>
      </c>
      <c r="AA49" s="97" t="str" cm="1">
        <f t="array" ref="AA49">IF(OR($A49="",COLUMNS($D49:AA49)&gt;Beheer!$C$4),"",N(INDEX(Dashboard!$C$2:$AF$61,MATCH(LARGE(Dashboard!$AI$2:$AI$61,$A49),Dashboard!$AI$2:$AI$61,0),COLUMNS($D49:AA49)))&amp;"/"&amp;INDEX(Beheer!$B$7:$B$36,COLUMNS($D49:AA49)))</f>
        <v/>
      </c>
      <c r="AB49" s="97" t="str" cm="1">
        <f t="array" ref="AB49">IF(OR($A49="",COLUMNS($D49:AB49)&gt;Beheer!$C$4),"",N(INDEX(Dashboard!$C$2:$AF$61,MATCH(LARGE(Dashboard!$AI$2:$AI$61,$A49),Dashboard!$AI$2:$AI$61,0),COLUMNS($D49:AB49)))&amp;"/"&amp;INDEX(Beheer!$B$7:$B$36,COLUMNS($D49:AB49)))</f>
        <v/>
      </c>
      <c r="AC49" s="97" t="str" cm="1">
        <f t="array" ref="AC49">IF(OR($A49="",COLUMNS($D49:AC49)&gt;Beheer!$C$4),"",N(INDEX(Dashboard!$C$2:$AF$61,MATCH(LARGE(Dashboard!$AI$2:$AI$61,$A49),Dashboard!$AI$2:$AI$61,0),COLUMNS($D49:AC49)))&amp;"/"&amp;INDEX(Beheer!$B$7:$B$36,COLUMNS($D49:AC49)))</f>
        <v/>
      </c>
      <c r="AD49" s="97" t="str" cm="1">
        <f t="array" ref="AD49">IF(OR($A49="",COLUMNS($D49:AD49)&gt;Beheer!$C$4),"",N(INDEX(Dashboard!$C$2:$AF$61,MATCH(LARGE(Dashboard!$AI$2:$AI$61,$A49),Dashboard!$AI$2:$AI$61,0),COLUMNS($D49:AD49)))&amp;"/"&amp;INDEX(Beheer!$B$7:$B$36,COLUMNS($D49:AD49)))</f>
        <v/>
      </c>
      <c r="AE49" s="97" t="str" cm="1">
        <f t="array" ref="AE49">IF(OR($A49="",COLUMNS($D49:AE49)&gt;Beheer!$C$4),"",N(INDEX(Dashboard!$C$2:$AF$61,MATCH(LARGE(Dashboard!$AI$2:$AI$61,$A49),Dashboard!$AI$2:$AI$61,0),COLUMNS($D49:AE49)))&amp;"/"&amp;INDEX(Beheer!$B$7:$B$36,COLUMNS($D49:AE49)))</f>
        <v/>
      </c>
      <c r="AF49" s="97" t="str" cm="1">
        <f t="array" ref="AF49">IF(OR($A49="",COLUMNS($D49:AF49)&gt;Beheer!$C$4),"",N(INDEX(Dashboard!$C$2:$AF$61,MATCH(LARGE(Dashboard!$AI$2:$AI$61,$A49),Dashboard!$AI$2:$AI$61,0),COLUMNS($D49:AF49)))&amp;"/"&amp;INDEX(Beheer!$B$7:$B$36,COLUMNS($D49:AF49)))</f>
        <v/>
      </c>
      <c r="AG49" s="97" t="str" cm="1">
        <f t="array" ref="AG49">IF(OR($A49="",COLUMNS($D49:AG49)&gt;Beheer!$C$4),"",N(INDEX(Dashboard!$C$2:$AF$61,MATCH(LARGE(Dashboard!$AI$2:$AI$61,$A49),Dashboard!$AI$2:$AI$61,0),COLUMNS($D49:AG49)))&amp;"/"&amp;INDEX(Beheer!$B$7:$B$36,COLUMNS($D49:AG49)))</f>
        <v/>
      </c>
    </row>
    <row r="50" spans="1:33" ht="24" customHeight="1" thickBot="1" x14ac:dyDescent="0.5">
      <c r="A50" s="99" t="str">
        <f>IF(ROWS($A$2:A50)&gt;COUNTA(Beheer!$F$7:$F$66),"",ROWS($A$2:A50))</f>
        <v/>
      </c>
      <c r="B50" s="102" t="str">
        <f>IF($A50="","",INDEX(Dashboard!$A$2:$A$61,MATCH(LARGE(Dashboard!$AI$2:$AI$61,$A50),Dashboard!$AI$2:$AI$61,0)))</f>
        <v/>
      </c>
      <c r="C50" s="94" t="str">
        <f>IF($A50="","",INDEX(Dashboard!$AG$2:$AG$61,MATCH(LARGE(Dashboard!$AI$2:$AI$61,$A50),Dashboard!$AI$2:$AI$61,0))&amp;" / "&amp;INDEX(Dashboard!$AH$2:$AH$61,MATCH(LARGE(Dashboard!$AI$2:$AI$61,$A50),Dashboard!$AI$2:$AI$61,0)))</f>
        <v/>
      </c>
      <c r="D50" s="95" t="str" cm="1">
        <f t="array" ref="D50">IF(OR($A50="",COLUMNS($D50:D50)&gt;Beheer!$C$4),"",N(INDEX(Dashboard!$C$2:$AF$61,MATCH(LARGE(Dashboard!$AI$2:$AI$61,$A50),Dashboard!$AI$2:$AI$61,0),COLUMNS($D50:D50)))&amp;"/"&amp;INDEX(Beheer!$B$7:$B$36,COLUMNS($D50:D50)))</f>
        <v/>
      </c>
      <c r="E50" s="95" t="str" cm="1">
        <f t="array" ref="E50">IF(OR($A50="",COLUMNS($D50:E50)&gt;Beheer!$C$4),"",N(INDEX(Dashboard!$C$2:$AF$61,MATCH(LARGE(Dashboard!$AI$2:$AI$61,$A50),Dashboard!$AI$2:$AI$61,0),COLUMNS($D50:E50)))&amp;"/"&amp;INDEX(Beheer!$B$7:$B$36,COLUMNS($D50:E50)))</f>
        <v/>
      </c>
      <c r="F50" s="95" t="str" cm="1">
        <f t="array" ref="F50">IF(OR($A50="",COLUMNS($D50:F50)&gt;Beheer!$C$4),"",N(INDEX(Dashboard!$C$2:$AF$61,MATCH(LARGE(Dashboard!$AI$2:$AI$61,$A50),Dashboard!$AI$2:$AI$61,0),COLUMNS($D50:F50)))&amp;"/"&amp;INDEX(Beheer!$B$7:$B$36,COLUMNS($D50:F50)))</f>
        <v/>
      </c>
      <c r="G50" s="95" t="str" cm="1">
        <f t="array" ref="G50">IF(OR($A50="",COLUMNS($D50:G50)&gt;Beheer!$C$4),"",N(INDEX(Dashboard!$C$2:$AF$61,MATCH(LARGE(Dashboard!$AI$2:$AI$61,$A50),Dashboard!$AI$2:$AI$61,0),COLUMNS($D50:G50)))&amp;"/"&amp;INDEX(Beheer!$B$7:$B$36,COLUMNS($D50:G50)))</f>
        <v/>
      </c>
      <c r="H50" s="95" t="str" cm="1">
        <f t="array" ref="H50">IF(OR($A50="",COLUMNS($D50:H50)&gt;Beheer!$C$4),"",N(INDEX(Dashboard!$C$2:$AF$61,MATCH(LARGE(Dashboard!$AI$2:$AI$61,$A50),Dashboard!$AI$2:$AI$61,0),COLUMNS($D50:H50)))&amp;"/"&amp;INDEX(Beheer!$B$7:$B$36,COLUMNS($D50:H50)))</f>
        <v/>
      </c>
      <c r="I50" s="95" t="str" cm="1">
        <f t="array" ref="I50">IF(OR($A50="",COLUMNS($D50:I50)&gt;Beheer!$C$4),"",N(INDEX(Dashboard!$C$2:$AF$61,MATCH(LARGE(Dashboard!$AI$2:$AI$61,$A50),Dashboard!$AI$2:$AI$61,0),COLUMNS($D50:I50)))&amp;"/"&amp;INDEX(Beheer!$B$7:$B$36,COLUMNS($D50:I50)))</f>
        <v/>
      </c>
      <c r="J50" s="95" t="str" cm="1">
        <f t="array" ref="J50">IF(OR($A50="",COLUMNS($D50:J50)&gt;Beheer!$C$4),"",N(INDEX(Dashboard!$C$2:$AF$61,MATCH(LARGE(Dashboard!$AI$2:$AI$61,$A50),Dashboard!$AI$2:$AI$61,0),COLUMNS($D50:J50)))&amp;"/"&amp;INDEX(Beheer!$B$7:$B$36,COLUMNS($D50:J50)))</f>
        <v/>
      </c>
      <c r="K50" s="95" t="str" cm="1">
        <f t="array" ref="K50">IF(OR($A50="",COLUMNS($D50:K50)&gt;Beheer!$C$4),"",N(INDEX(Dashboard!$C$2:$AF$61,MATCH(LARGE(Dashboard!$AI$2:$AI$61,$A50),Dashboard!$AI$2:$AI$61,0),COLUMNS($D50:K50)))&amp;"/"&amp;INDEX(Beheer!$B$7:$B$36,COLUMNS($D50:K50)))</f>
        <v/>
      </c>
      <c r="L50" s="95" t="str" cm="1">
        <f t="array" ref="L50">IF(OR($A50="",COLUMNS($D50:L50)&gt;Beheer!$C$4),"",N(INDEX(Dashboard!$C$2:$AF$61,MATCH(LARGE(Dashboard!$AI$2:$AI$61,$A50),Dashboard!$AI$2:$AI$61,0),COLUMNS($D50:L50)))&amp;"/"&amp;INDEX(Beheer!$B$7:$B$36,COLUMNS($D50:L50)))</f>
        <v/>
      </c>
      <c r="M50" s="95" t="str" cm="1">
        <f t="array" ref="M50">IF(OR($A50="",COLUMNS($D50:M50)&gt;Beheer!$C$4),"",N(INDEX(Dashboard!$C$2:$AF$61,MATCH(LARGE(Dashboard!$AI$2:$AI$61,$A50),Dashboard!$AI$2:$AI$61,0),COLUMNS($D50:M50)))&amp;"/"&amp;INDEX(Beheer!$B$7:$B$36,COLUMNS($D50:M50)))</f>
        <v/>
      </c>
      <c r="N50" s="95" t="str" cm="1">
        <f t="array" ref="N50">IF(OR($A50="",COLUMNS($D50:N50)&gt;Beheer!$C$4),"",N(INDEX(Dashboard!$C$2:$AF$61,MATCH(LARGE(Dashboard!$AI$2:$AI$61,$A50),Dashboard!$AI$2:$AI$61,0),COLUMNS($D50:N50)))&amp;"/"&amp;INDEX(Beheer!$B$7:$B$36,COLUMNS($D50:N50)))</f>
        <v/>
      </c>
      <c r="O50" s="95" t="str" cm="1">
        <f t="array" ref="O50">IF(OR($A50="",COLUMNS($D50:O50)&gt;Beheer!$C$4),"",N(INDEX(Dashboard!$C$2:$AF$61,MATCH(LARGE(Dashboard!$AI$2:$AI$61,$A50),Dashboard!$AI$2:$AI$61,0),COLUMNS($D50:O50)))&amp;"/"&amp;INDEX(Beheer!$B$7:$B$36,COLUMNS($D50:O50)))</f>
        <v/>
      </c>
      <c r="P50" s="95" t="str" cm="1">
        <f t="array" ref="P50">IF(OR($A50="",COLUMNS($D50:P50)&gt;Beheer!$C$4),"",N(INDEX(Dashboard!$C$2:$AF$61,MATCH(LARGE(Dashboard!$AI$2:$AI$61,$A50),Dashboard!$AI$2:$AI$61,0),COLUMNS($D50:P50)))&amp;"/"&amp;INDEX(Beheer!$B$7:$B$36,COLUMNS($D50:P50)))</f>
        <v/>
      </c>
      <c r="Q50" s="95" t="str" cm="1">
        <f t="array" ref="Q50">IF(OR($A50="",COLUMNS($D50:Q50)&gt;Beheer!$C$4),"",N(INDEX(Dashboard!$C$2:$AF$61,MATCH(LARGE(Dashboard!$AI$2:$AI$61,$A50),Dashboard!$AI$2:$AI$61,0),COLUMNS($D50:Q50)))&amp;"/"&amp;INDEX(Beheer!$B$7:$B$36,COLUMNS($D50:Q50)))</f>
        <v/>
      </c>
      <c r="R50" s="95" t="str" cm="1">
        <f t="array" ref="R50">IF(OR($A50="",COLUMNS($D50:R50)&gt;Beheer!$C$4),"",N(INDEX(Dashboard!$C$2:$AF$61,MATCH(LARGE(Dashboard!$AI$2:$AI$61,$A50),Dashboard!$AI$2:$AI$61,0),COLUMNS($D50:R50)))&amp;"/"&amp;INDEX(Beheer!$B$7:$B$36,COLUMNS($D50:R50)))</f>
        <v/>
      </c>
      <c r="S50" s="95" t="str" cm="1">
        <f t="array" ref="S50">IF(OR($A50="",COLUMNS($D50:S50)&gt;Beheer!$C$4),"",N(INDEX(Dashboard!$C$2:$AF$61,MATCH(LARGE(Dashboard!$AI$2:$AI$61,$A50),Dashboard!$AI$2:$AI$61,0),COLUMNS($D50:S50)))&amp;"/"&amp;INDEX(Beheer!$B$7:$B$36,COLUMNS($D50:S50)))</f>
        <v/>
      </c>
      <c r="T50" s="95" t="str" cm="1">
        <f t="array" ref="T50">IF(OR($A50="",COLUMNS($D50:T50)&gt;Beheer!$C$4),"",N(INDEX(Dashboard!$C$2:$AF$61,MATCH(LARGE(Dashboard!$AI$2:$AI$61,$A50),Dashboard!$AI$2:$AI$61,0),COLUMNS($D50:T50)))&amp;"/"&amp;INDEX(Beheer!$B$7:$B$36,COLUMNS($D50:T50)))</f>
        <v/>
      </c>
      <c r="U50" s="95" t="str" cm="1">
        <f t="array" ref="U50">IF(OR($A50="",COLUMNS($D50:U50)&gt;Beheer!$C$4),"",N(INDEX(Dashboard!$C$2:$AF$61,MATCH(LARGE(Dashboard!$AI$2:$AI$61,$A50),Dashboard!$AI$2:$AI$61,0),COLUMNS($D50:U50)))&amp;"/"&amp;INDEX(Beheer!$B$7:$B$36,COLUMNS($D50:U50)))</f>
        <v/>
      </c>
      <c r="V50" s="95" t="str" cm="1">
        <f t="array" ref="V50">IF(OR($A50="",COLUMNS($D50:V50)&gt;Beheer!$C$4),"",N(INDEX(Dashboard!$C$2:$AF$61,MATCH(LARGE(Dashboard!$AI$2:$AI$61,$A50),Dashboard!$AI$2:$AI$61,0),COLUMNS($D50:V50)))&amp;"/"&amp;INDEX(Beheer!$B$7:$B$36,COLUMNS($D50:V50)))</f>
        <v/>
      </c>
      <c r="W50" s="95" t="str" cm="1">
        <f t="array" ref="W50">IF(OR($A50="",COLUMNS($D50:W50)&gt;Beheer!$C$4),"",N(INDEX(Dashboard!$C$2:$AF$61,MATCH(LARGE(Dashboard!$AI$2:$AI$61,$A50),Dashboard!$AI$2:$AI$61,0),COLUMNS($D50:W50)))&amp;"/"&amp;INDEX(Beheer!$B$7:$B$36,COLUMNS($D50:W50)))</f>
        <v/>
      </c>
      <c r="X50" s="95" t="str" cm="1">
        <f t="array" ref="X50">IF(OR($A50="",COLUMNS($D50:X50)&gt;Beheer!$C$4),"",N(INDEX(Dashboard!$C$2:$AF$61,MATCH(LARGE(Dashboard!$AI$2:$AI$61,$A50),Dashboard!$AI$2:$AI$61,0),COLUMNS($D50:X50)))&amp;"/"&amp;INDEX(Beheer!$B$7:$B$36,COLUMNS($D50:X50)))</f>
        <v/>
      </c>
      <c r="Y50" s="95" t="str" cm="1">
        <f t="array" ref="Y50">IF(OR($A50="",COLUMNS($D50:Y50)&gt;Beheer!$C$4),"",N(INDEX(Dashboard!$C$2:$AF$61,MATCH(LARGE(Dashboard!$AI$2:$AI$61,$A50),Dashboard!$AI$2:$AI$61,0),COLUMNS($D50:Y50)))&amp;"/"&amp;INDEX(Beheer!$B$7:$B$36,COLUMNS($D50:Y50)))</f>
        <v/>
      </c>
      <c r="Z50" s="95" t="str" cm="1">
        <f t="array" ref="Z50">IF(OR($A50="",COLUMNS($D50:Z50)&gt;Beheer!$C$4),"",N(INDEX(Dashboard!$C$2:$AF$61,MATCH(LARGE(Dashboard!$AI$2:$AI$61,$A50),Dashboard!$AI$2:$AI$61,0),COLUMNS($D50:Z50)))&amp;"/"&amp;INDEX(Beheer!$B$7:$B$36,COLUMNS($D50:Z50)))</f>
        <v/>
      </c>
      <c r="AA50" s="95" t="str" cm="1">
        <f t="array" ref="AA50">IF(OR($A50="",COLUMNS($D50:AA50)&gt;Beheer!$C$4),"",N(INDEX(Dashboard!$C$2:$AF$61,MATCH(LARGE(Dashboard!$AI$2:$AI$61,$A50),Dashboard!$AI$2:$AI$61,0),COLUMNS($D50:AA50)))&amp;"/"&amp;INDEX(Beheer!$B$7:$B$36,COLUMNS($D50:AA50)))</f>
        <v/>
      </c>
      <c r="AB50" s="95" t="str" cm="1">
        <f t="array" ref="AB50">IF(OR($A50="",COLUMNS($D50:AB50)&gt;Beheer!$C$4),"",N(INDEX(Dashboard!$C$2:$AF$61,MATCH(LARGE(Dashboard!$AI$2:$AI$61,$A50),Dashboard!$AI$2:$AI$61,0),COLUMNS($D50:AB50)))&amp;"/"&amp;INDEX(Beheer!$B$7:$B$36,COLUMNS($D50:AB50)))</f>
        <v/>
      </c>
      <c r="AC50" s="95" t="str" cm="1">
        <f t="array" ref="AC50">IF(OR($A50="",COLUMNS($D50:AC50)&gt;Beheer!$C$4),"",N(INDEX(Dashboard!$C$2:$AF$61,MATCH(LARGE(Dashboard!$AI$2:$AI$61,$A50),Dashboard!$AI$2:$AI$61,0),COLUMNS($D50:AC50)))&amp;"/"&amp;INDEX(Beheer!$B$7:$B$36,COLUMNS($D50:AC50)))</f>
        <v/>
      </c>
      <c r="AD50" s="95" t="str" cm="1">
        <f t="array" ref="AD50">IF(OR($A50="",COLUMNS($D50:AD50)&gt;Beheer!$C$4),"",N(INDEX(Dashboard!$C$2:$AF$61,MATCH(LARGE(Dashboard!$AI$2:$AI$61,$A50),Dashboard!$AI$2:$AI$61,0),COLUMNS($D50:AD50)))&amp;"/"&amp;INDEX(Beheer!$B$7:$B$36,COLUMNS($D50:AD50)))</f>
        <v/>
      </c>
      <c r="AE50" s="95" t="str" cm="1">
        <f t="array" ref="AE50">IF(OR($A50="",COLUMNS($D50:AE50)&gt;Beheer!$C$4),"",N(INDEX(Dashboard!$C$2:$AF$61,MATCH(LARGE(Dashboard!$AI$2:$AI$61,$A50),Dashboard!$AI$2:$AI$61,0),COLUMNS($D50:AE50)))&amp;"/"&amp;INDEX(Beheer!$B$7:$B$36,COLUMNS($D50:AE50)))</f>
        <v/>
      </c>
      <c r="AF50" s="95" t="str" cm="1">
        <f t="array" ref="AF50">IF(OR($A50="",COLUMNS($D50:AF50)&gt;Beheer!$C$4),"",N(INDEX(Dashboard!$C$2:$AF$61,MATCH(LARGE(Dashboard!$AI$2:$AI$61,$A50),Dashboard!$AI$2:$AI$61,0),COLUMNS($D50:AF50)))&amp;"/"&amp;INDEX(Beheer!$B$7:$B$36,COLUMNS($D50:AF50)))</f>
        <v/>
      </c>
      <c r="AG50" s="95" t="str" cm="1">
        <f t="array" ref="AG50">IF(OR($A50="",COLUMNS($D50:AG50)&gt;Beheer!$C$4),"",N(INDEX(Dashboard!$C$2:$AF$61,MATCH(LARGE(Dashboard!$AI$2:$AI$61,$A50),Dashboard!$AI$2:$AI$61,0),COLUMNS($D50:AG50)))&amp;"/"&amp;INDEX(Beheer!$B$7:$B$36,COLUMNS($D50:AG50)))</f>
        <v/>
      </c>
    </row>
    <row r="51" spans="1:33" ht="24" customHeight="1" thickBot="1" x14ac:dyDescent="0.5">
      <c r="A51" s="98" t="str">
        <f>IF(ROWS($A$2:A51)&gt;COUNTA(Beheer!$F$7:$F$66),"",ROWS($A$2:A51))</f>
        <v/>
      </c>
      <c r="B51" s="101" t="str">
        <f>IF($A51="","",INDEX(Dashboard!$A$2:$A$61,MATCH(LARGE(Dashboard!$AI$2:$AI$61,$A51),Dashboard!$AI$2:$AI$61,0)))</f>
        <v/>
      </c>
      <c r="C51" s="96" t="str">
        <f>IF($A51="","",INDEX(Dashboard!$AG$2:$AG$61,MATCH(LARGE(Dashboard!$AI$2:$AI$61,$A51),Dashboard!$AI$2:$AI$61,0))&amp;" / "&amp;INDEX(Dashboard!$AH$2:$AH$61,MATCH(LARGE(Dashboard!$AI$2:$AI$61,$A51),Dashboard!$AI$2:$AI$61,0)))</f>
        <v/>
      </c>
      <c r="D51" s="97" t="str" cm="1">
        <f t="array" ref="D51">IF(OR($A51="",COLUMNS($D51:D51)&gt;Beheer!$C$4),"",N(INDEX(Dashboard!$C$2:$AF$61,MATCH(LARGE(Dashboard!$AI$2:$AI$61,$A51),Dashboard!$AI$2:$AI$61,0),COLUMNS($D51:D51)))&amp;"/"&amp;INDEX(Beheer!$B$7:$B$36,COLUMNS($D51:D51)))</f>
        <v/>
      </c>
      <c r="E51" s="97" t="str" cm="1">
        <f t="array" ref="E51">IF(OR($A51="",COLUMNS($D51:E51)&gt;Beheer!$C$4),"",N(INDEX(Dashboard!$C$2:$AF$61,MATCH(LARGE(Dashboard!$AI$2:$AI$61,$A51),Dashboard!$AI$2:$AI$61,0),COLUMNS($D51:E51)))&amp;"/"&amp;INDEX(Beheer!$B$7:$B$36,COLUMNS($D51:E51)))</f>
        <v/>
      </c>
      <c r="F51" s="97" t="str" cm="1">
        <f t="array" ref="F51">IF(OR($A51="",COLUMNS($D51:F51)&gt;Beheer!$C$4),"",N(INDEX(Dashboard!$C$2:$AF$61,MATCH(LARGE(Dashboard!$AI$2:$AI$61,$A51),Dashboard!$AI$2:$AI$61,0),COLUMNS($D51:F51)))&amp;"/"&amp;INDEX(Beheer!$B$7:$B$36,COLUMNS($D51:F51)))</f>
        <v/>
      </c>
      <c r="G51" s="97" t="str" cm="1">
        <f t="array" ref="G51">IF(OR($A51="",COLUMNS($D51:G51)&gt;Beheer!$C$4),"",N(INDEX(Dashboard!$C$2:$AF$61,MATCH(LARGE(Dashboard!$AI$2:$AI$61,$A51),Dashboard!$AI$2:$AI$61,0),COLUMNS($D51:G51)))&amp;"/"&amp;INDEX(Beheer!$B$7:$B$36,COLUMNS($D51:G51)))</f>
        <v/>
      </c>
      <c r="H51" s="97" t="str" cm="1">
        <f t="array" ref="H51">IF(OR($A51="",COLUMNS($D51:H51)&gt;Beheer!$C$4),"",N(INDEX(Dashboard!$C$2:$AF$61,MATCH(LARGE(Dashboard!$AI$2:$AI$61,$A51),Dashboard!$AI$2:$AI$61,0),COLUMNS($D51:H51)))&amp;"/"&amp;INDEX(Beheer!$B$7:$B$36,COLUMNS($D51:H51)))</f>
        <v/>
      </c>
      <c r="I51" s="97" t="str" cm="1">
        <f t="array" ref="I51">IF(OR($A51="",COLUMNS($D51:I51)&gt;Beheer!$C$4),"",N(INDEX(Dashboard!$C$2:$AF$61,MATCH(LARGE(Dashboard!$AI$2:$AI$61,$A51),Dashboard!$AI$2:$AI$61,0),COLUMNS($D51:I51)))&amp;"/"&amp;INDEX(Beheer!$B$7:$B$36,COLUMNS($D51:I51)))</f>
        <v/>
      </c>
      <c r="J51" s="97" t="str" cm="1">
        <f t="array" ref="J51">IF(OR($A51="",COLUMNS($D51:J51)&gt;Beheer!$C$4),"",N(INDEX(Dashboard!$C$2:$AF$61,MATCH(LARGE(Dashboard!$AI$2:$AI$61,$A51),Dashboard!$AI$2:$AI$61,0),COLUMNS($D51:J51)))&amp;"/"&amp;INDEX(Beheer!$B$7:$B$36,COLUMNS($D51:J51)))</f>
        <v/>
      </c>
      <c r="K51" s="97" t="str" cm="1">
        <f t="array" ref="K51">IF(OR($A51="",COLUMNS($D51:K51)&gt;Beheer!$C$4),"",N(INDEX(Dashboard!$C$2:$AF$61,MATCH(LARGE(Dashboard!$AI$2:$AI$61,$A51),Dashboard!$AI$2:$AI$61,0),COLUMNS($D51:K51)))&amp;"/"&amp;INDEX(Beheer!$B$7:$B$36,COLUMNS($D51:K51)))</f>
        <v/>
      </c>
      <c r="L51" s="97" t="str" cm="1">
        <f t="array" ref="L51">IF(OR($A51="",COLUMNS($D51:L51)&gt;Beheer!$C$4),"",N(INDEX(Dashboard!$C$2:$AF$61,MATCH(LARGE(Dashboard!$AI$2:$AI$61,$A51),Dashboard!$AI$2:$AI$61,0),COLUMNS($D51:L51)))&amp;"/"&amp;INDEX(Beheer!$B$7:$B$36,COLUMNS($D51:L51)))</f>
        <v/>
      </c>
      <c r="M51" s="97" t="str" cm="1">
        <f t="array" ref="M51">IF(OR($A51="",COLUMNS($D51:M51)&gt;Beheer!$C$4),"",N(INDEX(Dashboard!$C$2:$AF$61,MATCH(LARGE(Dashboard!$AI$2:$AI$61,$A51),Dashboard!$AI$2:$AI$61,0),COLUMNS($D51:M51)))&amp;"/"&amp;INDEX(Beheer!$B$7:$B$36,COLUMNS($D51:M51)))</f>
        <v/>
      </c>
      <c r="N51" s="97" t="str" cm="1">
        <f t="array" ref="N51">IF(OR($A51="",COLUMNS($D51:N51)&gt;Beheer!$C$4),"",N(INDEX(Dashboard!$C$2:$AF$61,MATCH(LARGE(Dashboard!$AI$2:$AI$61,$A51),Dashboard!$AI$2:$AI$61,0),COLUMNS($D51:N51)))&amp;"/"&amp;INDEX(Beheer!$B$7:$B$36,COLUMNS($D51:N51)))</f>
        <v/>
      </c>
      <c r="O51" s="97" t="str" cm="1">
        <f t="array" ref="O51">IF(OR($A51="",COLUMNS($D51:O51)&gt;Beheer!$C$4),"",N(INDEX(Dashboard!$C$2:$AF$61,MATCH(LARGE(Dashboard!$AI$2:$AI$61,$A51),Dashboard!$AI$2:$AI$61,0),COLUMNS($D51:O51)))&amp;"/"&amp;INDEX(Beheer!$B$7:$B$36,COLUMNS($D51:O51)))</f>
        <v/>
      </c>
      <c r="P51" s="97" t="str" cm="1">
        <f t="array" ref="P51">IF(OR($A51="",COLUMNS($D51:P51)&gt;Beheer!$C$4),"",N(INDEX(Dashboard!$C$2:$AF$61,MATCH(LARGE(Dashboard!$AI$2:$AI$61,$A51),Dashboard!$AI$2:$AI$61,0),COLUMNS($D51:P51)))&amp;"/"&amp;INDEX(Beheer!$B$7:$B$36,COLUMNS($D51:P51)))</f>
        <v/>
      </c>
      <c r="Q51" s="97" t="str" cm="1">
        <f t="array" ref="Q51">IF(OR($A51="",COLUMNS($D51:Q51)&gt;Beheer!$C$4),"",N(INDEX(Dashboard!$C$2:$AF$61,MATCH(LARGE(Dashboard!$AI$2:$AI$61,$A51),Dashboard!$AI$2:$AI$61,0),COLUMNS($D51:Q51)))&amp;"/"&amp;INDEX(Beheer!$B$7:$B$36,COLUMNS($D51:Q51)))</f>
        <v/>
      </c>
      <c r="R51" s="97" t="str" cm="1">
        <f t="array" ref="R51">IF(OR($A51="",COLUMNS($D51:R51)&gt;Beheer!$C$4),"",N(INDEX(Dashboard!$C$2:$AF$61,MATCH(LARGE(Dashboard!$AI$2:$AI$61,$A51),Dashboard!$AI$2:$AI$61,0),COLUMNS($D51:R51)))&amp;"/"&amp;INDEX(Beheer!$B$7:$B$36,COLUMNS($D51:R51)))</f>
        <v/>
      </c>
      <c r="S51" s="97" t="str" cm="1">
        <f t="array" ref="S51">IF(OR($A51="",COLUMNS($D51:S51)&gt;Beheer!$C$4),"",N(INDEX(Dashboard!$C$2:$AF$61,MATCH(LARGE(Dashboard!$AI$2:$AI$61,$A51),Dashboard!$AI$2:$AI$61,0),COLUMNS($D51:S51)))&amp;"/"&amp;INDEX(Beheer!$B$7:$B$36,COLUMNS($D51:S51)))</f>
        <v/>
      </c>
      <c r="T51" s="97" t="str" cm="1">
        <f t="array" ref="T51">IF(OR($A51="",COLUMNS($D51:T51)&gt;Beheer!$C$4),"",N(INDEX(Dashboard!$C$2:$AF$61,MATCH(LARGE(Dashboard!$AI$2:$AI$61,$A51),Dashboard!$AI$2:$AI$61,0),COLUMNS($D51:T51)))&amp;"/"&amp;INDEX(Beheer!$B$7:$B$36,COLUMNS($D51:T51)))</f>
        <v/>
      </c>
      <c r="U51" s="97" t="str" cm="1">
        <f t="array" ref="U51">IF(OR($A51="",COLUMNS($D51:U51)&gt;Beheer!$C$4),"",N(INDEX(Dashboard!$C$2:$AF$61,MATCH(LARGE(Dashboard!$AI$2:$AI$61,$A51),Dashboard!$AI$2:$AI$61,0),COLUMNS($D51:U51)))&amp;"/"&amp;INDEX(Beheer!$B$7:$B$36,COLUMNS($D51:U51)))</f>
        <v/>
      </c>
      <c r="V51" s="97" t="str" cm="1">
        <f t="array" ref="V51">IF(OR($A51="",COLUMNS($D51:V51)&gt;Beheer!$C$4),"",N(INDEX(Dashboard!$C$2:$AF$61,MATCH(LARGE(Dashboard!$AI$2:$AI$61,$A51),Dashboard!$AI$2:$AI$61,0),COLUMNS($D51:V51)))&amp;"/"&amp;INDEX(Beheer!$B$7:$B$36,COLUMNS($D51:V51)))</f>
        <v/>
      </c>
      <c r="W51" s="97" t="str" cm="1">
        <f t="array" ref="W51">IF(OR($A51="",COLUMNS($D51:W51)&gt;Beheer!$C$4),"",N(INDEX(Dashboard!$C$2:$AF$61,MATCH(LARGE(Dashboard!$AI$2:$AI$61,$A51),Dashboard!$AI$2:$AI$61,0),COLUMNS($D51:W51)))&amp;"/"&amp;INDEX(Beheer!$B$7:$B$36,COLUMNS($D51:W51)))</f>
        <v/>
      </c>
      <c r="X51" s="97" t="str" cm="1">
        <f t="array" ref="X51">IF(OR($A51="",COLUMNS($D51:X51)&gt;Beheer!$C$4),"",N(INDEX(Dashboard!$C$2:$AF$61,MATCH(LARGE(Dashboard!$AI$2:$AI$61,$A51),Dashboard!$AI$2:$AI$61,0),COLUMNS($D51:X51)))&amp;"/"&amp;INDEX(Beheer!$B$7:$B$36,COLUMNS($D51:X51)))</f>
        <v/>
      </c>
      <c r="Y51" s="97" t="str" cm="1">
        <f t="array" ref="Y51">IF(OR($A51="",COLUMNS($D51:Y51)&gt;Beheer!$C$4),"",N(INDEX(Dashboard!$C$2:$AF$61,MATCH(LARGE(Dashboard!$AI$2:$AI$61,$A51),Dashboard!$AI$2:$AI$61,0),COLUMNS($D51:Y51)))&amp;"/"&amp;INDEX(Beheer!$B$7:$B$36,COLUMNS($D51:Y51)))</f>
        <v/>
      </c>
      <c r="Z51" s="97" t="str" cm="1">
        <f t="array" ref="Z51">IF(OR($A51="",COLUMNS($D51:Z51)&gt;Beheer!$C$4),"",N(INDEX(Dashboard!$C$2:$AF$61,MATCH(LARGE(Dashboard!$AI$2:$AI$61,$A51),Dashboard!$AI$2:$AI$61,0),COLUMNS($D51:Z51)))&amp;"/"&amp;INDEX(Beheer!$B$7:$B$36,COLUMNS($D51:Z51)))</f>
        <v/>
      </c>
      <c r="AA51" s="97" t="str" cm="1">
        <f t="array" ref="AA51">IF(OR($A51="",COLUMNS($D51:AA51)&gt;Beheer!$C$4),"",N(INDEX(Dashboard!$C$2:$AF$61,MATCH(LARGE(Dashboard!$AI$2:$AI$61,$A51),Dashboard!$AI$2:$AI$61,0),COLUMNS($D51:AA51)))&amp;"/"&amp;INDEX(Beheer!$B$7:$B$36,COLUMNS($D51:AA51)))</f>
        <v/>
      </c>
      <c r="AB51" s="97" t="str" cm="1">
        <f t="array" ref="AB51">IF(OR($A51="",COLUMNS($D51:AB51)&gt;Beheer!$C$4),"",N(INDEX(Dashboard!$C$2:$AF$61,MATCH(LARGE(Dashboard!$AI$2:$AI$61,$A51),Dashboard!$AI$2:$AI$61,0),COLUMNS($D51:AB51)))&amp;"/"&amp;INDEX(Beheer!$B$7:$B$36,COLUMNS($D51:AB51)))</f>
        <v/>
      </c>
      <c r="AC51" s="97" t="str" cm="1">
        <f t="array" ref="AC51">IF(OR($A51="",COLUMNS($D51:AC51)&gt;Beheer!$C$4),"",N(INDEX(Dashboard!$C$2:$AF$61,MATCH(LARGE(Dashboard!$AI$2:$AI$61,$A51),Dashboard!$AI$2:$AI$61,0),COLUMNS($D51:AC51)))&amp;"/"&amp;INDEX(Beheer!$B$7:$B$36,COLUMNS($D51:AC51)))</f>
        <v/>
      </c>
      <c r="AD51" s="97" t="str" cm="1">
        <f t="array" ref="AD51">IF(OR($A51="",COLUMNS($D51:AD51)&gt;Beheer!$C$4),"",N(INDEX(Dashboard!$C$2:$AF$61,MATCH(LARGE(Dashboard!$AI$2:$AI$61,$A51),Dashboard!$AI$2:$AI$61,0),COLUMNS($D51:AD51)))&amp;"/"&amp;INDEX(Beheer!$B$7:$B$36,COLUMNS($D51:AD51)))</f>
        <v/>
      </c>
      <c r="AE51" s="97" t="str" cm="1">
        <f t="array" ref="AE51">IF(OR($A51="",COLUMNS($D51:AE51)&gt;Beheer!$C$4),"",N(INDEX(Dashboard!$C$2:$AF$61,MATCH(LARGE(Dashboard!$AI$2:$AI$61,$A51),Dashboard!$AI$2:$AI$61,0),COLUMNS($D51:AE51)))&amp;"/"&amp;INDEX(Beheer!$B$7:$B$36,COLUMNS($D51:AE51)))</f>
        <v/>
      </c>
      <c r="AF51" s="97" t="str" cm="1">
        <f t="array" ref="AF51">IF(OR($A51="",COLUMNS($D51:AF51)&gt;Beheer!$C$4),"",N(INDEX(Dashboard!$C$2:$AF$61,MATCH(LARGE(Dashboard!$AI$2:$AI$61,$A51),Dashboard!$AI$2:$AI$61,0),COLUMNS($D51:AF51)))&amp;"/"&amp;INDEX(Beheer!$B$7:$B$36,COLUMNS($D51:AF51)))</f>
        <v/>
      </c>
      <c r="AG51" s="97" t="str" cm="1">
        <f t="array" ref="AG51">IF(OR($A51="",COLUMNS($D51:AG51)&gt;Beheer!$C$4),"",N(INDEX(Dashboard!$C$2:$AF$61,MATCH(LARGE(Dashboard!$AI$2:$AI$61,$A51),Dashboard!$AI$2:$AI$61,0),COLUMNS($D51:AG51)))&amp;"/"&amp;INDEX(Beheer!$B$7:$B$36,COLUMNS($D51:AG51)))</f>
        <v/>
      </c>
    </row>
    <row r="52" spans="1:33" ht="24" customHeight="1" thickBot="1" x14ac:dyDescent="0.5">
      <c r="A52" s="99" t="str">
        <f>IF(ROWS($A$2:A52)&gt;COUNTA(Beheer!$F$7:$F$66),"",ROWS($A$2:A52))</f>
        <v/>
      </c>
      <c r="B52" s="102" t="str">
        <f>IF($A52="","",INDEX(Dashboard!$A$2:$A$61,MATCH(LARGE(Dashboard!$AI$2:$AI$61,$A52),Dashboard!$AI$2:$AI$61,0)))</f>
        <v/>
      </c>
      <c r="C52" s="94" t="str">
        <f>IF($A52="","",INDEX(Dashboard!$AG$2:$AG$61,MATCH(LARGE(Dashboard!$AI$2:$AI$61,$A52),Dashboard!$AI$2:$AI$61,0))&amp;" / "&amp;INDEX(Dashboard!$AH$2:$AH$61,MATCH(LARGE(Dashboard!$AI$2:$AI$61,$A52),Dashboard!$AI$2:$AI$61,0)))</f>
        <v/>
      </c>
      <c r="D52" s="95" t="str" cm="1">
        <f t="array" ref="D52">IF(OR($A52="",COLUMNS($D52:D52)&gt;Beheer!$C$4),"",N(INDEX(Dashboard!$C$2:$AF$61,MATCH(LARGE(Dashboard!$AI$2:$AI$61,$A52),Dashboard!$AI$2:$AI$61,0),COLUMNS($D52:D52)))&amp;"/"&amp;INDEX(Beheer!$B$7:$B$36,COLUMNS($D52:D52)))</f>
        <v/>
      </c>
      <c r="E52" s="95" t="str" cm="1">
        <f t="array" ref="E52">IF(OR($A52="",COLUMNS($D52:E52)&gt;Beheer!$C$4),"",N(INDEX(Dashboard!$C$2:$AF$61,MATCH(LARGE(Dashboard!$AI$2:$AI$61,$A52),Dashboard!$AI$2:$AI$61,0),COLUMNS($D52:E52)))&amp;"/"&amp;INDEX(Beheer!$B$7:$B$36,COLUMNS($D52:E52)))</f>
        <v/>
      </c>
      <c r="F52" s="95" t="str" cm="1">
        <f t="array" ref="F52">IF(OR($A52="",COLUMNS($D52:F52)&gt;Beheer!$C$4),"",N(INDEX(Dashboard!$C$2:$AF$61,MATCH(LARGE(Dashboard!$AI$2:$AI$61,$A52),Dashboard!$AI$2:$AI$61,0),COLUMNS($D52:F52)))&amp;"/"&amp;INDEX(Beheer!$B$7:$B$36,COLUMNS($D52:F52)))</f>
        <v/>
      </c>
      <c r="G52" s="95" t="str" cm="1">
        <f t="array" ref="G52">IF(OR($A52="",COLUMNS($D52:G52)&gt;Beheer!$C$4),"",N(INDEX(Dashboard!$C$2:$AF$61,MATCH(LARGE(Dashboard!$AI$2:$AI$61,$A52),Dashboard!$AI$2:$AI$61,0),COLUMNS($D52:G52)))&amp;"/"&amp;INDEX(Beheer!$B$7:$B$36,COLUMNS($D52:G52)))</f>
        <v/>
      </c>
      <c r="H52" s="95" t="str" cm="1">
        <f t="array" ref="H52">IF(OR($A52="",COLUMNS($D52:H52)&gt;Beheer!$C$4),"",N(INDEX(Dashboard!$C$2:$AF$61,MATCH(LARGE(Dashboard!$AI$2:$AI$61,$A52),Dashboard!$AI$2:$AI$61,0),COLUMNS($D52:H52)))&amp;"/"&amp;INDEX(Beheer!$B$7:$B$36,COLUMNS($D52:H52)))</f>
        <v/>
      </c>
      <c r="I52" s="95" t="str" cm="1">
        <f t="array" ref="I52">IF(OR($A52="",COLUMNS($D52:I52)&gt;Beheer!$C$4),"",N(INDEX(Dashboard!$C$2:$AF$61,MATCH(LARGE(Dashboard!$AI$2:$AI$61,$A52),Dashboard!$AI$2:$AI$61,0),COLUMNS($D52:I52)))&amp;"/"&amp;INDEX(Beheer!$B$7:$B$36,COLUMNS($D52:I52)))</f>
        <v/>
      </c>
      <c r="J52" s="95" t="str" cm="1">
        <f t="array" ref="J52">IF(OR($A52="",COLUMNS($D52:J52)&gt;Beheer!$C$4),"",N(INDEX(Dashboard!$C$2:$AF$61,MATCH(LARGE(Dashboard!$AI$2:$AI$61,$A52),Dashboard!$AI$2:$AI$61,0),COLUMNS($D52:J52)))&amp;"/"&amp;INDEX(Beheer!$B$7:$B$36,COLUMNS($D52:J52)))</f>
        <v/>
      </c>
      <c r="K52" s="95" t="str" cm="1">
        <f t="array" ref="K52">IF(OR($A52="",COLUMNS($D52:K52)&gt;Beheer!$C$4),"",N(INDEX(Dashboard!$C$2:$AF$61,MATCH(LARGE(Dashboard!$AI$2:$AI$61,$A52),Dashboard!$AI$2:$AI$61,0),COLUMNS($D52:K52)))&amp;"/"&amp;INDEX(Beheer!$B$7:$B$36,COLUMNS($D52:K52)))</f>
        <v/>
      </c>
      <c r="L52" s="95" t="str" cm="1">
        <f t="array" ref="L52">IF(OR($A52="",COLUMNS($D52:L52)&gt;Beheer!$C$4),"",N(INDEX(Dashboard!$C$2:$AF$61,MATCH(LARGE(Dashboard!$AI$2:$AI$61,$A52),Dashboard!$AI$2:$AI$61,0),COLUMNS($D52:L52)))&amp;"/"&amp;INDEX(Beheer!$B$7:$B$36,COLUMNS($D52:L52)))</f>
        <v/>
      </c>
      <c r="M52" s="95" t="str" cm="1">
        <f t="array" ref="M52">IF(OR($A52="",COLUMNS($D52:M52)&gt;Beheer!$C$4),"",N(INDEX(Dashboard!$C$2:$AF$61,MATCH(LARGE(Dashboard!$AI$2:$AI$61,$A52),Dashboard!$AI$2:$AI$61,0),COLUMNS($D52:M52)))&amp;"/"&amp;INDEX(Beheer!$B$7:$B$36,COLUMNS($D52:M52)))</f>
        <v/>
      </c>
      <c r="N52" s="95" t="str" cm="1">
        <f t="array" ref="N52">IF(OR($A52="",COLUMNS($D52:N52)&gt;Beheer!$C$4),"",N(INDEX(Dashboard!$C$2:$AF$61,MATCH(LARGE(Dashboard!$AI$2:$AI$61,$A52),Dashboard!$AI$2:$AI$61,0),COLUMNS($D52:N52)))&amp;"/"&amp;INDEX(Beheer!$B$7:$B$36,COLUMNS($D52:N52)))</f>
        <v/>
      </c>
      <c r="O52" s="95" t="str" cm="1">
        <f t="array" ref="O52">IF(OR($A52="",COLUMNS($D52:O52)&gt;Beheer!$C$4),"",N(INDEX(Dashboard!$C$2:$AF$61,MATCH(LARGE(Dashboard!$AI$2:$AI$61,$A52),Dashboard!$AI$2:$AI$61,0),COLUMNS($D52:O52)))&amp;"/"&amp;INDEX(Beheer!$B$7:$B$36,COLUMNS($D52:O52)))</f>
        <v/>
      </c>
      <c r="P52" s="95" t="str" cm="1">
        <f t="array" ref="P52">IF(OR($A52="",COLUMNS($D52:P52)&gt;Beheer!$C$4),"",N(INDEX(Dashboard!$C$2:$AF$61,MATCH(LARGE(Dashboard!$AI$2:$AI$61,$A52),Dashboard!$AI$2:$AI$61,0),COLUMNS($D52:P52)))&amp;"/"&amp;INDEX(Beheer!$B$7:$B$36,COLUMNS($D52:P52)))</f>
        <v/>
      </c>
      <c r="Q52" s="95" t="str" cm="1">
        <f t="array" ref="Q52">IF(OR($A52="",COLUMNS($D52:Q52)&gt;Beheer!$C$4),"",N(INDEX(Dashboard!$C$2:$AF$61,MATCH(LARGE(Dashboard!$AI$2:$AI$61,$A52),Dashboard!$AI$2:$AI$61,0),COLUMNS($D52:Q52)))&amp;"/"&amp;INDEX(Beheer!$B$7:$B$36,COLUMNS($D52:Q52)))</f>
        <v/>
      </c>
      <c r="R52" s="95" t="str" cm="1">
        <f t="array" ref="R52">IF(OR($A52="",COLUMNS($D52:R52)&gt;Beheer!$C$4),"",N(INDEX(Dashboard!$C$2:$AF$61,MATCH(LARGE(Dashboard!$AI$2:$AI$61,$A52),Dashboard!$AI$2:$AI$61,0),COLUMNS($D52:R52)))&amp;"/"&amp;INDEX(Beheer!$B$7:$B$36,COLUMNS($D52:R52)))</f>
        <v/>
      </c>
      <c r="S52" s="95" t="str" cm="1">
        <f t="array" ref="S52">IF(OR($A52="",COLUMNS($D52:S52)&gt;Beheer!$C$4),"",N(INDEX(Dashboard!$C$2:$AF$61,MATCH(LARGE(Dashboard!$AI$2:$AI$61,$A52),Dashboard!$AI$2:$AI$61,0),COLUMNS($D52:S52)))&amp;"/"&amp;INDEX(Beheer!$B$7:$B$36,COLUMNS($D52:S52)))</f>
        <v/>
      </c>
      <c r="T52" s="95" t="str" cm="1">
        <f t="array" ref="T52">IF(OR($A52="",COLUMNS($D52:T52)&gt;Beheer!$C$4),"",N(INDEX(Dashboard!$C$2:$AF$61,MATCH(LARGE(Dashboard!$AI$2:$AI$61,$A52),Dashboard!$AI$2:$AI$61,0),COLUMNS($D52:T52)))&amp;"/"&amp;INDEX(Beheer!$B$7:$B$36,COLUMNS($D52:T52)))</f>
        <v/>
      </c>
      <c r="U52" s="95" t="str" cm="1">
        <f t="array" ref="U52">IF(OR($A52="",COLUMNS($D52:U52)&gt;Beheer!$C$4),"",N(INDEX(Dashboard!$C$2:$AF$61,MATCH(LARGE(Dashboard!$AI$2:$AI$61,$A52),Dashboard!$AI$2:$AI$61,0),COLUMNS($D52:U52)))&amp;"/"&amp;INDEX(Beheer!$B$7:$B$36,COLUMNS($D52:U52)))</f>
        <v/>
      </c>
      <c r="V52" s="95" t="str" cm="1">
        <f t="array" ref="V52">IF(OR($A52="",COLUMNS($D52:V52)&gt;Beheer!$C$4),"",N(INDEX(Dashboard!$C$2:$AF$61,MATCH(LARGE(Dashboard!$AI$2:$AI$61,$A52),Dashboard!$AI$2:$AI$61,0),COLUMNS($D52:V52)))&amp;"/"&amp;INDEX(Beheer!$B$7:$B$36,COLUMNS($D52:V52)))</f>
        <v/>
      </c>
      <c r="W52" s="95" t="str" cm="1">
        <f t="array" ref="W52">IF(OR($A52="",COLUMNS($D52:W52)&gt;Beheer!$C$4),"",N(INDEX(Dashboard!$C$2:$AF$61,MATCH(LARGE(Dashboard!$AI$2:$AI$61,$A52),Dashboard!$AI$2:$AI$61,0),COLUMNS($D52:W52)))&amp;"/"&amp;INDEX(Beheer!$B$7:$B$36,COLUMNS($D52:W52)))</f>
        <v/>
      </c>
      <c r="X52" s="95" t="str" cm="1">
        <f t="array" ref="X52">IF(OR($A52="",COLUMNS($D52:X52)&gt;Beheer!$C$4),"",N(INDEX(Dashboard!$C$2:$AF$61,MATCH(LARGE(Dashboard!$AI$2:$AI$61,$A52),Dashboard!$AI$2:$AI$61,0),COLUMNS($D52:X52)))&amp;"/"&amp;INDEX(Beheer!$B$7:$B$36,COLUMNS($D52:X52)))</f>
        <v/>
      </c>
      <c r="Y52" s="95" t="str" cm="1">
        <f t="array" ref="Y52">IF(OR($A52="",COLUMNS($D52:Y52)&gt;Beheer!$C$4),"",N(INDEX(Dashboard!$C$2:$AF$61,MATCH(LARGE(Dashboard!$AI$2:$AI$61,$A52),Dashboard!$AI$2:$AI$61,0),COLUMNS($D52:Y52)))&amp;"/"&amp;INDEX(Beheer!$B$7:$B$36,COLUMNS($D52:Y52)))</f>
        <v/>
      </c>
      <c r="Z52" s="95" t="str" cm="1">
        <f t="array" ref="Z52">IF(OR($A52="",COLUMNS($D52:Z52)&gt;Beheer!$C$4),"",N(INDEX(Dashboard!$C$2:$AF$61,MATCH(LARGE(Dashboard!$AI$2:$AI$61,$A52),Dashboard!$AI$2:$AI$61,0),COLUMNS($D52:Z52)))&amp;"/"&amp;INDEX(Beheer!$B$7:$B$36,COLUMNS($D52:Z52)))</f>
        <v/>
      </c>
      <c r="AA52" s="95" t="str" cm="1">
        <f t="array" ref="AA52">IF(OR($A52="",COLUMNS($D52:AA52)&gt;Beheer!$C$4),"",N(INDEX(Dashboard!$C$2:$AF$61,MATCH(LARGE(Dashboard!$AI$2:$AI$61,$A52),Dashboard!$AI$2:$AI$61,0),COLUMNS($D52:AA52)))&amp;"/"&amp;INDEX(Beheer!$B$7:$B$36,COLUMNS($D52:AA52)))</f>
        <v/>
      </c>
      <c r="AB52" s="95" t="str" cm="1">
        <f t="array" ref="AB52">IF(OR($A52="",COLUMNS($D52:AB52)&gt;Beheer!$C$4),"",N(INDEX(Dashboard!$C$2:$AF$61,MATCH(LARGE(Dashboard!$AI$2:$AI$61,$A52),Dashboard!$AI$2:$AI$61,0),COLUMNS($D52:AB52)))&amp;"/"&amp;INDEX(Beheer!$B$7:$B$36,COLUMNS($D52:AB52)))</f>
        <v/>
      </c>
      <c r="AC52" s="95" t="str" cm="1">
        <f t="array" ref="AC52">IF(OR($A52="",COLUMNS($D52:AC52)&gt;Beheer!$C$4),"",N(INDEX(Dashboard!$C$2:$AF$61,MATCH(LARGE(Dashboard!$AI$2:$AI$61,$A52),Dashboard!$AI$2:$AI$61,0),COLUMNS($D52:AC52)))&amp;"/"&amp;INDEX(Beheer!$B$7:$B$36,COLUMNS($D52:AC52)))</f>
        <v/>
      </c>
      <c r="AD52" s="95" t="str" cm="1">
        <f t="array" ref="AD52">IF(OR($A52="",COLUMNS($D52:AD52)&gt;Beheer!$C$4),"",N(INDEX(Dashboard!$C$2:$AF$61,MATCH(LARGE(Dashboard!$AI$2:$AI$61,$A52),Dashboard!$AI$2:$AI$61,0),COLUMNS($D52:AD52)))&amp;"/"&amp;INDEX(Beheer!$B$7:$B$36,COLUMNS($D52:AD52)))</f>
        <v/>
      </c>
      <c r="AE52" s="95" t="str" cm="1">
        <f t="array" ref="AE52">IF(OR($A52="",COLUMNS($D52:AE52)&gt;Beheer!$C$4),"",N(INDEX(Dashboard!$C$2:$AF$61,MATCH(LARGE(Dashboard!$AI$2:$AI$61,$A52),Dashboard!$AI$2:$AI$61,0),COLUMNS($D52:AE52)))&amp;"/"&amp;INDEX(Beheer!$B$7:$B$36,COLUMNS($D52:AE52)))</f>
        <v/>
      </c>
      <c r="AF52" s="95" t="str" cm="1">
        <f t="array" ref="AF52">IF(OR($A52="",COLUMNS($D52:AF52)&gt;Beheer!$C$4),"",N(INDEX(Dashboard!$C$2:$AF$61,MATCH(LARGE(Dashboard!$AI$2:$AI$61,$A52),Dashboard!$AI$2:$AI$61,0),COLUMNS($D52:AF52)))&amp;"/"&amp;INDEX(Beheer!$B$7:$B$36,COLUMNS($D52:AF52)))</f>
        <v/>
      </c>
      <c r="AG52" s="95" t="str" cm="1">
        <f t="array" ref="AG52">IF(OR($A52="",COLUMNS($D52:AG52)&gt;Beheer!$C$4),"",N(INDEX(Dashboard!$C$2:$AF$61,MATCH(LARGE(Dashboard!$AI$2:$AI$61,$A52),Dashboard!$AI$2:$AI$61,0),COLUMNS($D52:AG52)))&amp;"/"&amp;INDEX(Beheer!$B$7:$B$36,COLUMNS($D52:AG52)))</f>
        <v/>
      </c>
    </row>
    <row r="53" spans="1:33" ht="24" customHeight="1" thickBot="1" x14ac:dyDescent="0.5">
      <c r="A53" s="98" t="str">
        <f>IF(ROWS($A$2:A53)&gt;COUNTA(Beheer!$F$7:$F$66),"",ROWS($A$2:A53))</f>
        <v/>
      </c>
      <c r="B53" s="101" t="str">
        <f>IF($A53="","",INDEX(Dashboard!$A$2:$A$61,MATCH(LARGE(Dashboard!$AI$2:$AI$61,$A53),Dashboard!$AI$2:$AI$61,0)))</f>
        <v/>
      </c>
      <c r="C53" s="96" t="str">
        <f>IF($A53="","",INDEX(Dashboard!$AG$2:$AG$61,MATCH(LARGE(Dashboard!$AI$2:$AI$61,$A53),Dashboard!$AI$2:$AI$61,0))&amp;" / "&amp;INDEX(Dashboard!$AH$2:$AH$61,MATCH(LARGE(Dashboard!$AI$2:$AI$61,$A53),Dashboard!$AI$2:$AI$61,0)))</f>
        <v/>
      </c>
      <c r="D53" s="97" t="str" cm="1">
        <f t="array" ref="D53">IF(OR($A53="",COLUMNS($D53:D53)&gt;Beheer!$C$4),"",N(INDEX(Dashboard!$C$2:$AF$61,MATCH(LARGE(Dashboard!$AI$2:$AI$61,$A53),Dashboard!$AI$2:$AI$61,0),COLUMNS($D53:D53)))&amp;"/"&amp;INDEX(Beheer!$B$7:$B$36,COLUMNS($D53:D53)))</f>
        <v/>
      </c>
      <c r="E53" s="97" t="str" cm="1">
        <f t="array" ref="E53">IF(OR($A53="",COLUMNS($D53:E53)&gt;Beheer!$C$4),"",N(INDEX(Dashboard!$C$2:$AF$61,MATCH(LARGE(Dashboard!$AI$2:$AI$61,$A53),Dashboard!$AI$2:$AI$61,0),COLUMNS($D53:E53)))&amp;"/"&amp;INDEX(Beheer!$B$7:$B$36,COLUMNS($D53:E53)))</f>
        <v/>
      </c>
      <c r="F53" s="97" t="str" cm="1">
        <f t="array" ref="F53">IF(OR($A53="",COLUMNS($D53:F53)&gt;Beheer!$C$4),"",N(INDEX(Dashboard!$C$2:$AF$61,MATCH(LARGE(Dashboard!$AI$2:$AI$61,$A53),Dashboard!$AI$2:$AI$61,0),COLUMNS($D53:F53)))&amp;"/"&amp;INDEX(Beheer!$B$7:$B$36,COLUMNS($D53:F53)))</f>
        <v/>
      </c>
      <c r="G53" s="97" t="str" cm="1">
        <f t="array" ref="G53">IF(OR($A53="",COLUMNS($D53:G53)&gt;Beheer!$C$4),"",N(INDEX(Dashboard!$C$2:$AF$61,MATCH(LARGE(Dashboard!$AI$2:$AI$61,$A53),Dashboard!$AI$2:$AI$61,0),COLUMNS($D53:G53)))&amp;"/"&amp;INDEX(Beheer!$B$7:$B$36,COLUMNS($D53:G53)))</f>
        <v/>
      </c>
      <c r="H53" s="97" t="str" cm="1">
        <f t="array" ref="H53">IF(OR($A53="",COLUMNS($D53:H53)&gt;Beheer!$C$4),"",N(INDEX(Dashboard!$C$2:$AF$61,MATCH(LARGE(Dashboard!$AI$2:$AI$61,$A53),Dashboard!$AI$2:$AI$61,0),COLUMNS($D53:H53)))&amp;"/"&amp;INDEX(Beheer!$B$7:$B$36,COLUMNS($D53:H53)))</f>
        <v/>
      </c>
      <c r="I53" s="97" t="str" cm="1">
        <f t="array" ref="I53">IF(OR($A53="",COLUMNS($D53:I53)&gt;Beheer!$C$4),"",N(INDEX(Dashboard!$C$2:$AF$61,MATCH(LARGE(Dashboard!$AI$2:$AI$61,$A53),Dashboard!$AI$2:$AI$61,0),COLUMNS($D53:I53)))&amp;"/"&amp;INDEX(Beheer!$B$7:$B$36,COLUMNS($D53:I53)))</f>
        <v/>
      </c>
      <c r="J53" s="97" t="str" cm="1">
        <f t="array" ref="J53">IF(OR($A53="",COLUMNS($D53:J53)&gt;Beheer!$C$4),"",N(INDEX(Dashboard!$C$2:$AF$61,MATCH(LARGE(Dashboard!$AI$2:$AI$61,$A53),Dashboard!$AI$2:$AI$61,0),COLUMNS($D53:J53)))&amp;"/"&amp;INDEX(Beheer!$B$7:$B$36,COLUMNS($D53:J53)))</f>
        <v/>
      </c>
      <c r="K53" s="97" t="str" cm="1">
        <f t="array" ref="K53">IF(OR($A53="",COLUMNS($D53:K53)&gt;Beheer!$C$4),"",N(INDEX(Dashboard!$C$2:$AF$61,MATCH(LARGE(Dashboard!$AI$2:$AI$61,$A53),Dashboard!$AI$2:$AI$61,0),COLUMNS($D53:K53)))&amp;"/"&amp;INDEX(Beheer!$B$7:$B$36,COLUMNS($D53:K53)))</f>
        <v/>
      </c>
      <c r="L53" s="97" t="str" cm="1">
        <f t="array" ref="L53">IF(OR($A53="",COLUMNS($D53:L53)&gt;Beheer!$C$4),"",N(INDEX(Dashboard!$C$2:$AF$61,MATCH(LARGE(Dashboard!$AI$2:$AI$61,$A53),Dashboard!$AI$2:$AI$61,0),COLUMNS($D53:L53)))&amp;"/"&amp;INDEX(Beheer!$B$7:$B$36,COLUMNS($D53:L53)))</f>
        <v/>
      </c>
      <c r="M53" s="97" t="str" cm="1">
        <f t="array" ref="M53">IF(OR($A53="",COLUMNS($D53:M53)&gt;Beheer!$C$4),"",N(INDEX(Dashboard!$C$2:$AF$61,MATCH(LARGE(Dashboard!$AI$2:$AI$61,$A53),Dashboard!$AI$2:$AI$61,0),COLUMNS($D53:M53)))&amp;"/"&amp;INDEX(Beheer!$B$7:$B$36,COLUMNS($D53:M53)))</f>
        <v/>
      </c>
      <c r="N53" s="97" t="str" cm="1">
        <f t="array" ref="N53">IF(OR($A53="",COLUMNS($D53:N53)&gt;Beheer!$C$4),"",N(INDEX(Dashboard!$C$2:$AF$61,MATCH(LARGE(Dashboard!$AI$2:$AI$61,$A53),Dashboard!$AI$2:$AI$61,0),COLUMNS($D53:N53)))&amp;"/"&amp;INDEX(Beheer!$B$7:$B$36,COLUMNS($D53:N53)))</f>
        <v/>
      </c>
      <c r="O53" s="97" t="str" cm="1">
        <f t="array" ref="O53">IF(OR($A53="",COLUMNS($D53:O53)&gt;Beheer!$C$4),"",N(INDEX(Dashboard!$C$2:$AF$61,MATCH(LARGE(Dashboard!$AI$2:$AI$61,$A53),Dashboard!$AI$2:$AI$61,0),COLUMNS($D53:O53)))&amp;"/"&amp;INDEX(Beheer!$B$7:$B$36,COLUMNS($D53:O53)))</f>
        <v/>
      </c>
      <c r="P53" s="97" t="str" cm="1">
        <f t="array" ref="P53">IF(OR($A53="",COLUMNS($D53:P53)&gt;Beheer!$C$4),"",N(INDEX(Dashboard!$C$2:$AF$61,MATCH(LARGE(Dashboard!$AI$2:$AI$61,$A53),Dashboard!$AI$2:$AI$61,0),COLUMNS($D53:P53)))&amp;"/"&amp;INDEX(Beheer!$B$7:$B$36,COLUMNS($D53:P53)))</f>
        <v/>
      </c>
      <c r="Q53" s="97" t="str" cm="1">
        <f t="array" ref="Q53">IF(OR($A53="",COLUMNS($D53:Q53)&gt;Beheer!$C$4),"",N(INDEX(Dashboard!$C$2:$AF$61,MATCH(LARGE(Dashboard!$AI$2:$AI$61,$A53),Dashboard!$AI$2:$AI$61,0),COLUMNS($D53:Q53)))&amp;"/"&amp;INDEX(Beheer!$B$7:$B$36,COLUMNS($D53:Q53)))</f>
        <v/>
      </c>
      <c r="R53" s="97" t="str" cm="1">
        <f t="array" ref="R53">IF(OR($A53="",COLUMNS($D53:R53)&gt;Beheer!$C$4),"",N(INDEX(Dashboard!$C$2:$AF$61,MATCH(LARGE(Dashboard!$AI$2:$AI$61,$A53),Dashboard!$AI$2:$AI$61,0),COLUMNS($D53:R53)))&amp;"/"&amp;INDEX(Beheer!$B$7:$B$36,COLUMNS($D53:R53)))</f>
        <v/>
      </c>
      <c r="S53" s="97" t="str" cm="1">
        <f t="array" ref="S53">IF(OR($A53="",COLUMNS($D53:S53)&gt;Beheer!$C$4),"",N(INDEX(Dashboard!$C$2:$AF$61,MATCH(LARGE(Dashboard!$AI$2:$AI$61,$A53),Dashboard!$AI$2:$AI$61,0),COLUMNS($D53:S53)))&amp;"/"&amp;INDEX(Beheer!$B$7:$B$36,COLUMNS($D53:S53)))</f>
        <v/>
      </c>
      <c r="T53" s="97" t="str" cm="1">
        <f t="array" ref="T53">IF(OR($A53="",COLUMNS($D53:T53)&gt;Beheer!$C$4),"",N(INDEX(Dashboard!$C$2:$AF$61,MATCH(LARGE(Dashboard!$AI$2:$AI$61,$A53),Dashboard!$AI$2:$AI$61,0),COLUMNS($D53:T53)))&amp;"/"&amp;INDEX(Beheer!$B$7:$B$36,COLUMNS($D53:T53)))</f>
        <v/>
      </c>
      <c r="U53" s="97" t="str" cm="1">
        <f t="array" ref="U53">IF(OR($A53="",COLUMNS($D53:U53)&gt;Beheer!$C$4),"",N(INDEX(Dashboard!$C$2:$AF$61,MATCH(LARGE(Dashboard!$AI$2:$AI$61,$A53),Dashboard!$AI$2:$AI$61,0),COLUMNS($D53:U53)))&amp;"/"&amp;INDEX(Beheer!$B$7:$B$36,COLUMNS($D53:U53)))</f>
        <v/>
      </c>
      <c r="V53" s="97" t="str" cm="1">
        <f t="array" ref="V53">IF(OR($A53="",COLUMNS($D53:V53)&gt;Beheer!$C$4),"",N(INDEX(Dashboard!$C$2:$AF$61,MATCH(LARGE(Dashboard!$AI$2:$AI$61,$A53),Dashboard!$AI$2:$AI$61,0),COLUMNS($D53:V53)))&amp;"/"&amp;INDEX(Beheer!$B$7:$B$36,COLUMNS($D53:V53)))</f>
        <v/>
      </c>
      <c r="W53" s="97" t="str" cm="1">
        <f t="array" ref="W53">IF(OR($A53="",COLUMNS($D53:W53)&gt;Beheer!$C$4),"",N(INDEX(Dashboard!$C$2:$AF$61,MATCH(LARGE(Dashboard!$AI$2:$AI$61,$A53),Dashboard!$AI$2:$AI$61,0),COLUMNS($D53:W53)))&amp;"/"&amp;INDEX(Beheer!$B$7:$B$36,COLUMNS($D53:W53)))</f>
        <v/>
      </c>
      <c r="X53" s="97" t="str" cm="1">
        <f t="array" ref="X53">IF(OR($A53="",COLUMNS($D53:X53)&gt;Beheer!$C$4),"",N(INDEX(Dashboard!$C$2:$AF$61,MATCH(LARGE(Dashboard!$AI$2:$AI$61,$A53),Dashboard!$AI$2:$AI$61,0),COLUMNS($D53:X53)))&amp;"/"&amp;INDEX(Beheer!$B$7:$B$36,COLUMNS($D53:X53)))</f>
        <v/>
      </c>
      <c r="Y53" s="97" t="str" cm="1">
        <f t="array" ref="Y53">IF(OR($A53="",COLUMNS($D53:Y53)&gt;Beheer!$C$4),"",N(INDEX(Dashboard!$C$2:$AF$61,MATCH(LARGE(Dashboard!$AI$2:$AI$61,$A53),Dashboard!$AI$2:$AI$61,0),COLUMNS($D53:Y53)))&amp;"/"&amp;INDEX(Beheer!$B$7:$B$36,COLUMNS($D53:Y53)))</f>
        <v/>
      </c>
      <c r="Z53" s="97" t="str" cm="1">
        <f t="array" ref="Z53">IF(OR($A53="",COLUMNS($D53:Z53)&gt;Beheer!$C$4),"",N(INDEX(Dashboard!$C$2:$AF$61,MATCH(LARGE(Dashboard!$AI$2:$AI$61,$A53),Dashboard!$AI$2:$AI$61,0),COLUMNS($D53:Z53)))&amp;"/"&amp;INDEX(Beheer!$B$7:$B$36,COLUMNS($D53:Z53)))</f>
        <v/>
      </c>
      <c r="AA53" s="97" t="str" cm="1">
        <f t="array" ref="AA53">IF(OR($A53="",COLUMNS($D53:AA53)&gt;Beheer!$C$4),"",N(INDEX(Dashboard!$C$2:$AF$61,MATCH(LARGE(Dashboard!$AI$2:$AI$61,$A53),Dashboard!$AI$2:$AI$61,0),COLUMNS($D53:AA53)))&amp;"/"&amp;INDEX(Beheer!$B$7:$B$36,COLUMNS($D53:AA53)))</f>
        <v/>
      </c>
      <c r="AB53" s="97" t="str" cm="1">
        <f t="array" ref="AB53">IF(OR($A53="",COLUMNS($D53:AB53)&gt;Beheer!$C$4),"",N(INDEX(Dashboard!$C$2:$AF$61,MATCH(LARGE(Dashboard!$AI$2:$AI$61,$A53),Dashboard!$AI$2:$AI$61,0),COLUMNS($D53:AB53)))&amp;"/"&amp;INDEX(Beheer!$B$7:$B$36,COLUMNS($D53:AB53)))</f>
        <v/>
      </c>
      <c r="AC53" s="97" t="str" cm="1">
        <f t="array" ref="AC53">IF(OR($A53="",COLUMNS($D53:AC53)&gt;Beheer!$C$4),"",N(INDEX(Dashboard!$C$2:$AF$61,MATCH(LARGE(Dashboard!$AI$2:$AI$61,$A53),Dashboard!$AI$2:$AI$61,0),COLUMNS($D53:AC53)))&amp;"/"&amp;INDEX(Beheer!$B$7:$B$36,COLUMNS($D53:AC53)))</f>
        <v/>
      </c>
      <c r="AD53" s="97" t="str" cm="1">
        <f t="array" ref="AD53">IF(OR($A53="",COLUMNS($D53:AD53)&gt;Beheer!$C$4),"",N(INDEX(Dashboard!$C$2:$AF$61,MATCH(LARGE(Dashboard!$AI$2:$AI$61,$A53),Dashboard!$AI$2:$AI$61,0),COLUMNS($D53:AD53)))&amp;"/"&amp;INDEX(Beheer!$B$7:$B$36,COLUMNS($D53:AD53)))</f>
        <v/>
      </c>
      <c r="AE53" s="97" t="str" cm="1">
        <f t="array" ref="AE53">IF(OR($A53="",COLUMNS($D53:AE53)&gt;Beheer!$C$4),"",N(INDEX(Dashboard!$C$2:$AF$61,MATCH(LARGE(Dashboard!$AI$2:$AI$61,$A53),Dashboard!$AI$2:$AI$61,0),COLUMNS($D53:AE53)))&amp;"/"&amp;INDEX(Beheer!$B$7:$B$36,COLUMNS($D53:AE53)))</f>
        <v/>
      </c>
      <c r="AF53" s="97" t="str" cm="1">
        <f t="array" ref="AF53">IF(OR($A53="",COLUMNS($D53:AF53)&gt;Beheer!$C$4),"",N(INDEX(Dashboard!$C$2:$AF$61,MATCH(LARGE(Dashboard!$AI$2:$AI$61,$A53),Dashboard!$AI$2:$AI$61,0),COLUMNS($D53:AF53)))&amp;"/"&amp;INDEX(Beheer!$B$7:$B$36,COLUMNS($D53:AF53)))</f>
        <v/>
      </c>
      <c r="AG53" s="97" t="str" cm="1">
        <f t="array" ref="AG53">IF(OR($A53="",COLUMNS($D53:AG53)&gt;Beheer!$C$4),"",N(INDEX(Dashboard!$C$2:$AF$61,MATCH(LARGE(Dashboard!$AI$2:$AI$61,$A53),Dashboard!$AI$2:$AI$61,0),COLUMNS($D53:AG53)))&amp;"/"&amp;INDEX(Beheer!$B$7:$B$36,COLUMNS($D53:AG53)))</f>
        <v/>
      </c>
    </row>
    <row r="54" spans="1:33" ht="24" customHeight="1" thickBot="1" x14ac:dyDescent="0.5">
      <c r="A54" s="99" t="str">
        <f>IF(ROWS($A$2:A54)&gt;COUNTA(Beheer!$F$7:$F$66),"",ROWS($A$2:A54))</f>
        <v/>
      </c>
      <c r="B54" s="102" t="str">
        <f>IF($A54="","",INDEX(Dashboard!$A$2:$A$61,MATCH(LARGE(Dashboard!$AI$2:$AI$61,$A54),Dashboard!$AI$2:$AI$61,0)))</f>
        <v/>
      </c>
      <c r="C54" s="94" t="str">
        <f>IF($A54="","",INDEX(Dashboard!$AG$2:$AG$61,MATCH(LARGE(Dashboard!$AI$2:$AI$61,$A54),Dashboard!$AI$2:$AI$61,0))&amp;" / "&amp;INDEX(Dashboard!$AH$2:$AH$61,MATCH(LARGE(Dashboard!$AI$2:$AI$61,$A54),Dashboard!$AI$2:$AI$61,0)))</f>
        <v/>
      </c>
      <c r="D54" s="95" t="str" cm="1">
        <f t="array" ref="D54">IF(OR($A54="",COLUMNS($D54:D54)&gt;Beheer!$C$4),"",N(INDEX(Dashboard!$C$2:$AF$61,MATCH(LARGE(Dashboard!$AI$2:$AI$61,$A54),Dashboard!$AI$2:$AI$61,0),COLUMNS($D54:D54)))&amp;"/"&amp;INDEX(Beheer!$B$7:$B$36,COLUMNS($D54:D54)))</f>
        <v/>
      </c>
      <c r="E54" s="95" t="str" cm="1">
        <f t="array" ref="E54">IF(OR($A54="",COLUMNS($D54:E54)&gt;Beheer!$C$4),"",N(INDEX(Dashboard!$C$2:$AF$61,MATCH(LARGE(Dashboard!$AI$2:$AI$61,$A54),Dashboard!$AI$2:$AI$61,0),COLUMNS($D54:E54)))&amp;"/"&amp;INDEX(Beheer!$B$7:$B$36,COLUMNS($D54:E54)))</f>
        <v/>
      </c>
      <c r="F54" s="95" t="str" cm="1">
        <f t="array" ref="F54">IF(OR($A54="",COLUMNS($D54:F54)&gt;Beheer!$C$4),"",N(INDEX(Dashboard!$C$2:$AF$61,MATCH(LARGE(Dashboard!$AI$2:$AI$61,$A54),Dashboard!$AI$2:$AI$61,0),COLUMNS($D54:F54)))&amp;"/"&amp;INDEX(Beheer!$B$7:$B$36,COLUMNS($D54:F54)))</f>
        <v/>
      </c>
      <c r="G54" s="95" t="str" cm="1">
        <f t="array" ref="G54">IF(OR($A54="",COLUMNS($D54:G54)&gt;Beheer!$C$4),"",N(INDEX(Dashboard!$C$2:$AF$61,MATCH(LARGE(Dashboard!$AI$2:$AI$61,$A54),Dashboard!$AI$2:$AI$61,0),COLUMNS($D54:G54)))&amp;"/"&amp;INDEX(Beheer!$B$7:$B$36,COLUMNS($D54:G54)))</f>
        <v/>
      </c>
      <c r="H54" s="95" t="str" cm="1">
        <f t="array" ref="H54">IF(OR($A54="",COLUMNS($D54:H54)&gt;Beheer!$C$4),"",N(INDEX(Dashboard!$C$2:$AF$61,MATCH(LARGE(Dashboard!$AI$2:$AI$61,$A54),Dashboard!$AI$2:$AI$61,0),COLUMNS($D54:H54)))&amp;"/"&amp;INDEX(Beheer!$B$7:$B$36,COLUMNS($D54:H54)))</f>
        <v/>
      </c>
      <c r="I54" s="95" t="str" cm="1">
        <f t="array" ref="I54">IF(OR($A54="",COLUMNS($D54:I54)&gt;Beheer!$C$4),"",N(INDEX(Dashboard!$C$2:$AF$61,MATCH(LARGE(Dashboard!$AI$2:$AI$61,$A54),Dashboard!$AI$2:$AI$61,0),COLUMNS($D54:I54)))&amp;"/"&amp;INDEX(Beheer!$B$7:$B$36,COLUMNS($D54:I54)))</f>
        <v/>
      </c>
      <c r="J54" s="95" t="str" cm="1">
        <f t="array" ref="J54">IF(OR($A54="",COLUMNS($D54:J54)&gt;Beheer!$C$4),"",N(INDEX(Dashboard!$C$2:$AF$61,MATCH(LARGE(Dashboard!$AI$2:$AI$61,$A54),Dashboard!$AI$2:$AI$61,0),COLUMNS($D54:J54)))&amp;"/"&amp;INDEX(Beheer!$B$7:$B$36,COLUMNS($D54:J54)))</f>
        <v/>
      </c>
      <c r="K54" s="95" t="str" cm="1">
        <f t="array" ref="K54">IF(OR($A54="",COLUMNS($D54:K54)&gt;Beheer!$C$4),"",N(INDEX(Dashboard!$C$2:$AF$61,MATCH(LARGE(Dashboard!$AI$2:$AI$61,$A54),Dashboard!$AI$2:$AI$61,0),COLUMNS($D54:K54)))&amp;"/"&amp;INDEX(Beheer!$B$7:$B$36,COLUMNS($D54:K54)))</f>
        <v/>
      </c>
      <c r="L54" s="95" t="str" cm="1">
        <f t="array" ref="L54">IF(OR($A54="",COLUMNS($D54:L54)&gt;Beheer!$C$4),"",N(INDEX(Dashboard!$C$2:$AF$61,MATCH(LARGE(Dashboard!$AI$2:$AI$61,$A54),Dashboard!$AI$2:$AI$61,0),COLUMNS($D54:L54)))&amp;"/"&amp;INDEX(Beheer!$B$7:$B$36,COLUMNS($D54:L54)))</f>
        <v/>
      </c>
      <c r="M54" s="95" t="str" cm="1">
        <f t="array" ref="M54">IF(OR($A54="",COLUMNS($D54:M54)&gt;Beheer!$C$4),"",N(INDEX(Dashboard!$C$2:$AF$61,MATCH(LARGE(Dashboard!$AI$2:$AI$61,$A54),Dashboard!$AI$2:$AI$61,0),COLUMNS($D54:M54)))&amp;"/"&amp;INDEX(Beheer!$B$7:$B$36,COLUMNS($D54:M54)))</f>
        <v/>
      </c>
      <c r="N54" s="95" t="str" cm="1">
        <f t="array" ref="N54">IF(OR($A54="",COLUMNS($D54:N54)&gt;Beheer!$C$4),"",N(INDEX(Dashboard!$C$2:$AF$61,MATCH(LARGE(Dashboard!$AI$2:$AI$61,$A54),Dashboard!$AI$2:$AI$61,0),COLUMNS($D54:N54)))&amp;"/"&amp;INDEX(Beheer!$B$7:$B$36,COLUMNS($D54:N54)))</f>
        <v/>
      </c>
      <c r="O54" s="95" t="str" cm="1">
        <f t="array" ref="O54">IF(OR($A54="",COLUMNS($D54:O54)&gt;Beheer!$C$4),"",N(INDEX(Dashboard!$C$2:$AF$61,MATCH(LARGE(Dashboard!$AI$2:$AI$61,$A54),Dashboard!$AI$2:$AI$61,0),COLUMNS($D54:O54)))&amp;"/"&amp;INDEX(Beheer!$B$7:$B$36,COLUMNS($D54:O54)))</f>
        <v/>
      </c>
      <c r="P54" s="95" t="str" cm="1">
        <f t="array" ref="P54">IF(OR($A54="",COLUMNS($D54:P54)&gt;Beheer!$C$4),"",N(INDEX(Dashboard!$C$2:$AF$61,MATCH(LARGE(Dashboard!$AI$2:$AI$61,$A54),Dashboard!$AI$2:$AI$61,0),COLUMNS($D54:P54)))&amp;"/"&amp;INDEX(Beheer!$B$7:$B$36,COLUMNS($D54:P54)))</f>
        <v/>
      </c>
      <c r="Q54" s="95" t="str" cm="1">
        <f t="array" ref="Q54">IF(OR($A54="",COLUMNS($D54:Q54)&gt;Beheer!$C$4),"",N(INDEX(Dashboard!$C$2:$AF$61,MATCH(LARGE(Dashboard!$AI$2:$AI$61,$A54),Dashboard!$AI$2:$AI$61,0),COLUMNS($D54:Q54)))&amp;"/"&amp;INDEX(Beheer!$B$7:$B$36,COLUMNS($D54:Q54)))</f>
        <v/>
      </c>
      <c r="R54" s="95" t="str" cm="1">
        <f t="array" ref="R54">IF(OR($A54="",COLUMNS($D54:R54)&gt;Beheer!$C$4),"",N(INDEX(Dashboard!$C$2:$AF$61,MATCH(LARGE(Dashboard!$AI$2:$AI$61,$A54),Dashboard!$AI$2:$AI$61,0),COLUMNS($D54:R54)))&amp;"/"&amp;INDEX(Beheer!$B$7:$B$36,COLUMNS($D54:R54)))</f>
        <v/>
      </c>
      <c r="S54" s="95" t="str" cm="1">
        <f t="array" ref="S54">IF(OR($A54="",COLUMNS($D54:S54)&gt;Beheer!$C$4),"",N(INDEX(Dashboard!$C$2:$AF$61,MATCH(LARGE(Dashboard!$AI$2:$AI$61,$A54),Dashboard!$AI$2:$AI$61,0),COLUMNS($D54:S54)))&amp;"/"&amp;INDEX(Beheer!$B$7:$B$36,COLUMNS($D54:S54)))</f>
        <v/>
      </c>
      <c r="T54" s="95" t="str" cm="1">
        <f t="array" ref="T54">IF(OR($A54="",COLUMNS($D54:T54)&gt;Beheer!$C$4),"",N(INDEX(Dashboard!$C$2:$AF$61,MATCH(LARGE(Dashboard!$AI$2:$AI$61,$A54),Dashboard!$AI$2:$AI$61,0),COLUMNS($D54:T54)))&amp;"/"&amp;INDEX(Beheer!$B$7:$B$36,COLUMNS($D54:T54)))</f>
        <v/>
      </c>
      <c r="U54" s="95" t="str" cm="1">
        <f t="array" ref="U54">IF(OR($A54="",COLUMNS($D54:U54)&gt;Beheer!$C$4),"",N(INDEX(Dashboard!$C$2:$AF$61,MATCH(LARGE(Dashboard!$AI$2:$AI$61,$A54),Dashboard!$AI$2:$AI$61,0),COLUMNS($D54:U54)))&amp;"/"&amp;INDEX(Beheer!$B$7:$B$36,COLUMNS($D54:U54)))</f>
        <v/>
      </c>
      <c r="V54" s="95" t="str" cm="1">
        <f t="array" ref="V54">IF(OR($A54="",COLUMNS($D54:V54)&gt;Beheer!$C$4),"",N(INDEX(Dashboard!$C$2:$AF$61,MATCH(LARGE(Dashboard!$AI$2:$AI$61,$A54),Dashboard!$AI$2:$AI$61,0),COLUMNS($D54:V54)))&amp;"/"&amp;INDEX(Beheer!$B$7:$B$36,COLUMNS($D54:V54)))</f>
        <v/>
      </c>
      <c r="W54" s="95" t="str" cm="1">
        <f t="array" ref="W54">IF(OR($A54="",COLUMNS($D54:W54)&gt;Beheer!$C$4),"",N(INDEX(Dashboard!$C$2:$AF$61,MATCH(LARGE(Dashboard!$AI$2:$AI$61,$A54),Dashboard!$AI$2:$AI$61,0),COLUMNS($D54:W54)))&amp;"/"&amp;INDEX(Beheer!$B$7:$B$36,COLUMNS($D54:W54)))</f>
        <v/>
      </c>
      <c r="X54" s="95" t="str" cm="1">
        <f t="array" ref="X54">IF(OR($A54="",COLUMNS($D54:X54)&gt;Beheer!$C$4),"",N(INDEX(Dashboard!$C$2:$AF$61,MATCH(LARGE(Dashboard!$AI$2:$AI$61,$A54),Dashboard!$AI$2:$AI$61,0),COLUMNS($D54:X54)))&amp;"/"&amp;INDEX(Beheer!$B$7:$B$36,COLUMNS($D54:X54)))</f>
        <v/>
      </c>
      <c r="Y54" s="95" t="str" cm="1">
        <f t="array" ref="Y54">IF(OR($A54="",COLUMNS($D54:Y54)&gt;Beheer!$C$4),"",N(INDEX(Dashboard!$C$2:$AF$61,MATCH(LARGE(Dashboard!$AI$2:$AI$61,$A54),Dashboard!$AI$2:$AI$61,0),COLUMNS($D54:Y54)))&amp;"/"&amp;INDEX(Beheer!$B$7:$B$36,COLUMNS($D54:Y54)))</f>
        <v/>
      </c>
      <c r="Z54" s="95" t="str" cm="1">
        <f t="array" ref="Z54">IF(OR($A54="",COLUMNS($D54:Z54)&gt;Beheer!$C$4),"",N(INDEX(Dashboard!$C$2:$AF$61,MATCH(LARGE(Dashboard!$AI$2:$AI$61,$A54),Dashboard!$AI$2:$AI$61,0),COLUMNS($D54:Z54)))&amp;"/"&amp;INDEX(Beheer!$B$7:$B$36,COLUMNS($D54:Z54)))</f>
        <v/>
      </c>
      <c r="AA54" s="95" t="str" cm="1">
        <f t="array" ref="AA54">IF(OR($A54="",COLUMNS($D54:AA54)&gt;Beheer!$C$4),"",N(INDEX(Dashboard!$C$2:$AF$61,MATCH(LARGE(Dashboard!$AI$2:$AI$61,$A54),Dashboard!$AI$2:$AI$61,0),COLUMNS($D54:AA54)))&amp;"/"&amp;INDEX(Beheer!$B$7:$B$36,COLUMNS($D54:AA54)))</f>
        <v/>
      </c>
      <c r="AB54" s="95" t="str" cm="1">
        <f t="array" ref="AB54">IF(OR($A54="",COLUMNS($D54:AB54)&gt;Beheer!$C$4),"",N(INDEX(Dashboard!$C$2:$AF$61,MATCH(LARGE(Dashboard!$AI$2:$AI$61,$A54),Dashboard!$AI$2:$AI$61,0),COLUMNS($D54:AB54)))&amp;"/"&amp;INDEX(Beheer!$B$7:$B$36,COLUMNS($D54:AB54)))</f>
        <v/>
      </c>
      <c r="AC54" s="95" t="str" cm="1">
        <f t="array" ref="AC54">IF(OR($A54="",COLUMNS($D54:AC54)&gt;Beheer!$C$4),"",N(INDEX(Dashboard!$C$2:$AF$61,MATCH(LARGE(Dashboard!$AI$2:$AI$61,$A54),Dashboard!$AI$2:$AI$61,0),COLUMNS($D54:AC54)))&amp;"/"&amp;INDEX(Beheer!$B$7:$B$36,COLUMNS($D54:AC54)))</f>
        <v/>
      </c>
      <c r="AD54" s="95" t="str" cm="1">
        <f t="array" ref="AD54">IF(OR($A54="",COLUMNS($D54:AD54)&gt;Beheer!$C$4),"",N(INDEX(Dashboard!$C$2:$AF$61,MATCH(LARGE(Dashboard!$AI$2:$AI$61,$A54),Dashboard!$AI$2:$AI$61,0),COLUMNS($D54:AD54)))&amp;"/"&amp;INDEX(Beheer!$B$7:$B$36,COLUMNS($D54:AD54)))</f>
        <v/>
      </c>
      <c r="AE54" s="95" t="str" cm="1">
        <f t="array" ref="AE54">IF(OR($A54="",COLUMNS($D54:AE54)&gt;Beheer!$C$4),"",N(INDEX(Dashboard!$C$2:$AF$61,MATCH(LARGE(Dashboard!$AI$2:$AI$61,$A54),Dashboard!$AI$2:$AI$61,0),COLUMNS($D54:AE54)))&amp;"/"&amp;INDEX(Beheer!$B$7:$B$36,COLUMNS($D54:AE54)))</f>
        <v/>
      </c>
      <c r="AF54" s="95" t="str" cm="1">
        <f t="array" ref="AF54">IF(OR($A54="",COLUMNS($D54:AF54)&gt;Beheer!$C$4),"",N(INDEX(Dashboard!$C$2:$AF$61,MATCH(LARGE(Dashboard!$AI$2:$AI$61,$A54),Dashboard!$AI$2:$AI$61,0),COLUMNS($D54:AF54)))&amp;"/"&amp;INDEX(Beheer!$B$7:$B$36,COLUMNS($D54:AF54)))</f>
        <v/>
      </c>
      <c r="AG54" s="95" t="str" cm="1">
        <f t="array" ref="AG54">IF(OR($A54="",COLUMNS($D54:AG54)&gt;Beheer!$C$4),"",N(INDEX(Dashboard!$C$2:$AF$61,MATCH(LARGE(Dashboard!$AI$2:$AI$61,$A54),Dashboard!$AI$2:$AI$61,0),COLUMNS($D54:AG54)))&amp;"/"&amp;INDEX(Beheer!$B$7:$B$36,COLUMNS($D54:AG54)))</f>
        <v/>
      </c>
    </row>
    <row r="55" spans="1:33" ht="24" customHeight="1" thickBot="1" x14ac:dyDescent="0.5">
      <c r="A55" s="98" t="str">
        <f>IF(ROWS($A$2:A55)&gt;COUNTA(Beheer!$F$7:$F$66),"",ROWS($A$2:A55))</f>
        <v/>
      </c>
      <c r="B55" s="101" t="str">
        <f>IF($A55="","",INDEX(Dashboard!$A$2:$A$61,MATCH(LARGE(Dashboard!$AI$2:$AI$61,$A55),Dashboard!$AI$2:$AI$61,0)))</f>
        <v/>
      </c>
      <c r="C55" s="96" t="str">
        <f>IF($A55="","",INDEX(Dashboard!$AG$2:$AG$61,MATCH(LARGE(Dashboard!$AI$2:$AI$61,$A55),Dashboard!$AI$2:$AI$61,0))&amp;" / "&amp;INDEX(Dashboard!$AH$2:$AH$61,MATCH(LARGE(Dashboard!$AI$2:$AI$61,$A55),Dashboard!$AI$2:$AI$61,0)))</f>
        <v/>
      </c>
      <c r="D55" s="97" t="str" cm="1">
        <f t="array" ref="D55">IF(OR($A55="",COLUMNS($D55:D55)&gt;Beheer!$C$4),"",N(INDEX(Dashboard!$C$2:$AF$61,MATCH(LARGE(Dashboard!$AI$2:$AI$61,$A55),Dashboard!$AI$2:$AI$61,0),COLUMNS($D55:D55)))&amp;"/"&amp;INDEX(Beheer!$B$7:$B$36,COLUMNS($D55:D55)))</f>
        <v/>
      </c>
      <c r="E55" s="97" t="str" cm="1">
        <f t="array" ref="E55">IF(OR($A55="",COLUMNS($D55:E55)&gt;Beheer!$C$4),"",N(INDEX(Dashboard!$C$2:$AF$61,MATCH(LARGE(Dashboard!$AI$2:$AI$61,$A55),Dashboard!$AI$2:$AI$61,0),COLUMNS($D55:E55)))&amp;"/"&amp;INDEX(Beheer!$B$7:$B$36,COLUMNS($D55:E55)))</f>
        <v/>
      </c>
      <c r="F55" s="97" t="str" cm="1">
        <f t="array" ref="F55">IF(OR($A55="",COLUMNS($D55:F55)&gt;Beheer!$C$4),"",N(INDEX(Dashboard!$C$2:$AF$61,MATCH(LARGE(Dashboard!$AI$2:$AI$61,$A55),Dashboard!$AI$2:$AI$61,0),COLUMNS($D55:F55)))&amp;"/"&amp;INDEX(Beheer!$B$7:$B$36,COLUMNS($D55:F55)))</f>
        <v/>
      </c>
      <c r="G55" s="97" t="str" cm="1">
        <f t="array" ref="G55">IF(OR($A55="",COLUMNS($D55:G55)&gt;Beheer!$C$4),"",N(INDEX(Dashboard!$C$2:$AF$61,MATCH(LARGE(Dashboard!$AI$2:$AI$61,$A55),Dashboard!$AI$2:$AI$61,0),COLUMNS($D55:G55)))&amp;"/"&amp;INDEX(Beheer!$B$7:$B$36,COLUMNS($D55:G55)))</f>
        <v/>
      </c>
      <c r="H55" s="97" t="str" cm="1">
        <f t="array" ref="H55">IF(OR($A55="",COLUMNS($D55:H55)&gt;Beheer!$C$4),"",N(INDEX(Dashboard!$C$2:$AF$61,MATCH(LARGE(Dashboard!$AI$2:$AI$61,$A55),Dashboard!$AI$2:$AI$61,0),COLUMNS($D55:H55)))&amp;"/"&amp;INDEX(Beheer!$B$7:$B$36,COLUMNS($D55:H55)))</f>
        <v/>
      </c>
      <c r="I55" s="97" t="str" cm="1">
        <f t="array" ref="I55">IF(OR($A55="",COLUMNS($D55:I55)&gt;Beheer!$C$4),"",N(INDEX(Dashboard!$C$2:$AF$61,MATCH(LARGE(Dashboard!$AI$2:$AI$61,$A55),Dashboard!$AI$2:$AI$61,0),COLUMNS($D55:I55)))&amp;"/"&amp;INDEX(Beheer!$B$7:$B$36,COLUMNS($D55:I55)))</f>
        <v/>
      </c>
      <c r="J55" s="97" t="str" cm="1">
        <f t="array" ref="J55">IF(OR($A55="",COLUMNS($D55:J55)&gt;Beheer!$C$4),"",N(INDEX(Dashboard!$C$2:$AF$61,MATCH(LARGE(Dashboard!$AI$2:$AI$61,$A55),Dashboard!$AI$2:$AI$61,0),COLUMNS($D55:J55)))&amp;"/"&amp;INDEX(Beheer!$B$7:$B$36,COLUMNS($D55:J55)))</f>
        <v/>
      </c>
      <c r="K55" s="97" t="str" cm="1">
        <f t="array" ref="K55">IF(OR($A55="",COLUMNS($D55:K55)&gt;Beheer!$C$4),"",N(INDEX(Dashboard!$C$2:$AF$61,MATCH(LARGE(Dashboard!$AI$2:$AI$61,$A55),Dashboard!$AI$2:$AI$61,0),COLUMNS($D55:K55)))&amp;"/"&amp;INDEX(Beheer!$B$7:$B$36,COLUMNS($D55:K55)))</f>
        <v/>
      </c>
      <c r="L55" s="97" t="str" cm="1">
        <f t="array" ref="L55">IF(OR($A55="",COLUMNS($D55:L55)&gt;Beheer!$C$4),"",N(INDEX(Dashboard!$C$2:$AF$61,MATCH(LARGE(Dashboard!$AI$2:$AI$61,$A55),Dashboard!$AI$2:$AI$61,0),COLUMNS($D55:L55)))&amp;"/"&amp;INDEX(Beheer!$B$7:$B$36,COLUMNS($D55:L55)))</f>
        <v/>
      </c>
      <c r="M55" s="97" t="str" cm="1">
        <f t="array" ref="M55">IF(OR($A55="",COLUMNS($D55:M55)&gt;Beheer!$C$4),"",N(INDEX(Dashboard!$C$2:$AF$61,MATCH(LARGE(Dashboard!$AI$2:$AI$61,$A55),Dashboard!$AI$2:$AI$61,0),COLUMNS($D55:M55)))&amp;"/"&amp;INDEX(Beheer!$B$7:$B$36,COLUMNS($D55:M55)))</f>
        <v/>
      </c>
      <c r="N55" s="97" t="str" cm="1">
        <f t="array" ref="N55">IF(OR($A55="",COLUMNS($D55:N55)&gt;Beheer!$C$4),"",N(INDEX(Dashboard!$C$2:$AF$61,MATCH(LARGE(Dashboard!$AI$2:$AI$61,$A55),Dashboard!$AI$2:$AI$61,0),COLUMNS($D55:N55)))&amp;"/"&amp;INDEX(Beheer!$B$7:$B$36,COLUMNS($D55:N55)))</f>
        <v/>
      </c>
      <c r="O55" s="97" t="str" cm="1">
        <f t="array" ref="O55">IF(OR($A55="",COLUMNS($D55:O55)&gt;Beheer!$C$4),"",N(INDEX(Dashboard!$C$2:$AF$61,MATCH(LARGE(Dashboard!$AI$2:$AI$61,$A55),Dashboard!$AI$2:$AI$61,0),COLUMNS($D55:O55)))&amp;"/"&amp;INDEX(Beheer!$B$7:$B$36,COLUMNS($D55:O55)))</f>
        <v/>
      </c>
      <c r="P55" s="97" t="str" cm="1">
        <f t="array" ref="P55">IF(OR($A55="",COLUMNS($D55:P55)&gt;Beheer!$C$4),"",N(INDEX(Dashboard!$C$2:$AF$61,MATCH(LARGE(Dashboard!$AI$2:$AI$61,$A55),Dashboard!$AI$2:$AI$61,0),COLUMNS($D55:P55)))&amp;"/"&amp;INDEX(Beheer!$B$7:$B$36,COLUMNS($D55:P55)))</f>
        <v/>
      </c>
      <c r="Q55" s="97" t="str" cm="1">
        <f t="array" ref="Q55">IF(OR($A55="",COLUMNS($D55:Q55)&gt;Beheer!$C$4),"",N(INDEX(Dashboard!$C$2:$AF$61,MATCH(LARGE(Dashboard!$AI$2:$AI$61,$A55),Dashboard!$AI$2:$AI$61,0),COLUMNS($D55:Q55)))&amp;"/"&amp;INDEX(Beheer!$B$7:$B$36,COLUMNS($D55:Q55)))</f>
        <v/>
      </c>
      <c r="R55" s="97" t="str" cm="1">
        <f t="array" ref="R55">IF(OR($A55="",COLUMNS($D55:R55)&gt;Beheer!$C$4),"",N(INDEX(Dashboard!$C$2:$AF$61,MATCH(LARGE(Dashboard!$AI$2:$AI$61,$A55),Dashboard!$AI$2:$AI$61,0),COLUMNS($D55:R55)))&amp;"/"&amp;INDEX(Beheer!$B$7:$B$36,COLUMNS($D55:R55)))</f>
        <v/>
      </c>
      <c r="S55" s="97" t="str" cm="1">
        <f t="array" ref="S55">IF(OR($A55="",COLUMNS($D55:S55)&gt;Beheer!$C$4),"",N(INDEX(Dashboard!$C$2:$AF$61,MATCH(LARGE(Dashboard!$AI$2:$AI$61,$A55),Dashboard!$AI$2:$AI$61,0),COLUMNS($D55:S55)))&amp;"/"&amp;INDEX(Beheer!$B$7:$B$36,COLUMNS($D55:S55)))</f>
        <v/>
      </c>
      <c r="T55" s="97" t="str" cm="1">
        <f t="array" ref="T55">IF(OR($A55="",COLUMNS($D55:T55)&gt;Beheer!$C$4),"",N(INDEX(Dashboard!$C$2:$AF$61,MATCH(LARGE(Dashboard!$AI$2:$AI$61,$A55),Dashboard!$AI$2:$AI$61,0),COLUMNS($D55:T55)))&amp;"/"&amp;INDEX(Beheer!$B$7:$B$36,COLUMNS($D55:T55)))</f>
        <v/>
      </c>
      <c r="U55" s="97" t="str" cm="1">
        <f t="array" ref="U55">IF(OR($A55="",COLUMNS($D55:U55)&gt;Beheer!$C$4),"",N(INDEX(Dashboard!$C$2:$AF$61,MATCH(LARGE(Dashboard!$AI$2:$AI$61,$A55),Dashboard!$AI$2:$AI$61,0),COLUMNS($D55:U55)))&amp;"/"&amp;INDEX(Beheer!$B$7:$B$36,COLUMNS($D55:U55)))</f>
        <v/>
      </c>
      <c r="V55" s="97" t="str" cm="1">
        <f t="array" ref="V55">IF(OR($A55="",COLUMNS($D55:V55)&gt;Beheer!$C$4),"",N(INDEX(Dashboard!$C$2:$AF$61,MATCH(LARGE(Dashboard!$AI$2:$AI$61,$A55),Dashboard!$AI$2:$AI$61,0),COLUMNS($D55:V55)))&amp;"/"&amp;INDEX(Beheer!$B$7:$B$36,COLUMNS($D55:V55)))</f>
        <v/>
      </c>
      <c r="W55" s="97" t="str" cm="1">
        <f t="array" ref="W55">IF(OR($A55="",COLUMNS($D55:W55)&gt;Beheer!$C$4),"",N(INDEX(Dashboard!$C$2:$AF$61,MATCH(LARGE(Dashboard!$AI$2:$AI$61,$A55),Dashboard!$AI$2:$AI$61,0),COLUMNS($D55:W55)))&amp;"/"&amp;INDEX(Beheer!$B$7:$B$36,COLUMNS($D55:W55)))</f>
        <v/>
      </c>
      <c r="X55" s="97" t="str" cm="1">
        <f t="array" ref="X55">IF(OR($A55="",COLUMNS($D55:X55)&gt;Beheer!$C$4),"",N(INDEX(Dashboard!$C$2:$AF$61,MATCH(LARGE(Dashboard!$AI$2:$AI$61,$A55),Dashboard!$AI$2:$AI$61,0),COLUMNS($D55:X55)))&amp;"/"&amp;INDEX(Beheer!$B$7:$B$36,COLUMNS($D55:X55)))</f>
        <v/>
      </c>
      <c r="Y55" s="97" t="str" cm="1">
        <f t="array" ref="Y55">IF(OR($A55="",COLUMNS($D55:Y55)&gt;Beheer!$C$4),"",N(INDEX(Dashboard!$C$2:$AF$61,MATCH(LARGE(Dashboard!$AI$2:$AI$61,$A55),Dashboard!$AI$2:$AI$61,0),COLUMNS($D55:Y55)))&amp;"/"&amp;INDEX(Beheer!$B$7:$B$36,COLUMNS($D55:Y55)))</f>
        <v/>
      </c>
      <c r="Z55" s="97" t="str" cm="1">
        <f t="array" ref="Z55">IF(OR($A55="",COLUMNS($D55:Z55)&gt;Beheer!$C$4),"",N(INDEX(Dashboard!$C$2:$AF$61,MATCH(LARGE(Dashboard!$AI$2:$AI$61,$A55),Dashboard!$AI$2:$AI$61,0),COLUMNS($D55:Z55)))&amp;"/"&amp;INDEX(Beheer!$B$7:$B$36,COLUMNS($D55:Z55)))</f>
        <v/>
      </c>
      <c r="AA55" s="97" t="str" cm="1">
        <f t="array" ref="AA55">IF(OR($A55="",COLUMNS($D55:AA55)&gt;Beheer!$C$4),"",N(INDEX(Dashboard!$C$2:$AF$61,MATCH(LARGE(Dashboard!$AI$2:$AI$61,$A55),Dashboard!$AI$2:$AI$61,0),COLUMNS($D55:AA55)))&amp;"/"&amp;INDEX(Beheer!$B$7:$B$36,COLUMNS($D55:AA55)))</f>
        <v/>
      </c>
      <c r="AB55" s="97" t="str" cm="1">
        <f t="array" ref="AB55">IF(OR($A55="",COLUMNS($D55:AB55)&gt;Beheer!$C$4),"",N(INDEX(Dashboard!$C$2:$AF$61,MATCH(LARGE(Dashboard!$AI$2:$AI$61,$A55),Dashboard!$AI$2:$AI$61,0),COLUMNS($D55:AB55)))&amp;"/"&amp;INDEX(Beheer!$B$7:$B$36,COLUMNS($D55:AB55)))</f>
        <v/>
      </c>
      <c r="AC55" s="97" t="str" cm="1">
        <f t="array" ref="AC55">IF(OR($A55="",COLUMNS($D55:AC55)&gt;Beheer!$C$4),"",N(INDEX(Dashboard!$C$2:$AF$61,MATCH(LARGE(Dashboard!$AI$2:$AI$61,$A55),Dashboard!$AI$2:$AI$61,0),COLUMNS($D55:AC55)))&amp;"/"&amp;INDEX(Beheer!$B$7:$B$36,COLUMNS($D55:AC55)))</f>
        <v/>
      </c>
      <c r="AD55" s="97" t="str" cm="1">
        <f t="array" ref="AD55">IF(OR($A55="",COLUMNS($D55:AD55)&gt;Beheer!$C$4),"",N(INDEX(Dashboard!$C$2:$AF$61,MATCH(LARGE(Dashboard!$AI$2:$AI$61,$A55),Dashboard!$AI$2:$AI$61,0),COLUMNS($D55:AD55)))&amp;"/"&amp;INDEX(Beheer!$B$7:$B$36,COLUMNS($D55:AD55)))</f>
        <v/>
      </c>
      <c r="AE55" s="97" t="str" cm="1">
        <f t="array" ref="AE55">IF(OR($A55="",COLUMNS($D55:AE55)&gt;Beheer!$C$4),"",N(INDEX(Dashboard!$C$2:$AF$61,MATCH(LARGE(Dashboard!$AI$2:$AI$61,$A55),Dashboard!$AI$2:$AI$61,0),COLUMNS($D55:AE55)))&amp;"/"&amp;INDEX(Beheer!$B$7:$B$36,COLUMNS($D55:AE55)))</f>
        <v/>
      </c>
      <c r="AF55" s="97" t="str" cm="1">
        <f t="array" ref="AF55">IF(OR($A55="",COLUMNS($D55:AF55)&gt;Beheer!$C$4),"",N(INDEX(Dashboard!$C$2:$AF$61,MATCH(LARGE(Dashboard!$AI$2:$AI$61,$A55),Dashboard!$AI$2:$AI$61,0),COLUMNS($D55:AF55)))&amp;"/"&amp;INDEX(Beheer!$B$7:$B$36,COLUMNS($D55:AF55)))</f>
        <v/>
      </c>
      <c r="AG55" s="97" t="str" cm="1">
        <f t="array" ref="AG55">IF(OR($A55="",COLUMNS($D55:AG55)&gt;Beheer!$C$4),"",N(INDEX(Dashboard!$C$2:$AF$61,MATCH(LARGE(Dashboard!$AI$2:$AI$61,$A55),Dashboard!$AI$2:$AI$61,0),COLUMNS($D55:AG55)))&amp;"/"&amp;INDEX(Beheer!$B$7:$B$36,COLUMNS($D55:AG55)))</f>
        <v/>
      </c>
    </row>
    <row r="56" spans="1:33" ht="24" customHeight="1" thickBot="1" x14ac:dyDescent="0.5">
      <c r="A56" s="99" t="str">
        <f>IF(ROWS($A$2:A56)&gt;COUNTA(Beheer!$F$7:$F$66),"",ROWS($A$2:A56))</f>
        <v/>
      </c>
      <c r="B56" s="102" t="str">
        <f>IF($A56="","",INDEX(Dashboard!$A$2:$A$61,MATCH(LARGE(Dashboard!$AI$2:$AI$61,$A56),Dashboard!$AI$2:$AI$61,0)))</f>
        <v/>
      </c>
      <c r="C56" s="94" t="str">
        <f>IF($A56="","",INDEX(Dashboard!$AG$2:$AG$61,MATCH(LARGE(Dashboard!$AI$2:$AI$61,$A56),Dashboard!$AI$2:$AI$61,0))&amp;" / "&amp;INDEX(Dashboard!$AH$2:$AH$61,MATCH(LARGE(Dashboard!$AI$2:$AI$61,$A56),Dashboard!$AI$2:$AI$61,0)))</f>
        <v/>
      </c>
      <c r="D56" s="95" t="str" cm="1">
        <f t="array" ref="D56">IF(OR($A56="",COLUMNS($D56:D56)&gt;Beheer!$C$4),"",N(INDEX(Dashboard!$C$2:$AF$61,MATCH(LARGE(Dashboard!$AI$2:$AI$61,$A56),Dashboard!$AI$2:$AI$61,0),COLUMNS($D56:D56)))&amp;"/"&amp;INDEX(Beheer!$B$7:$B$36,COLUMNS($D56:D56)))</f>
        <v/>
      </c>
      <c r="E56" s="95" t="str" cm="1">
        <f t="array" ref="E56">IF(OR($A56="",COLUMNS($D56:E56)&gt;Beheer!$C$4),"",N(INDEX(Dashboard!$C$2:$AF$61,MATCH(LARGE(Dashboard!$AI$2:$AI$61,$A56),Dashboard!$AI$2:$AI$61,0),COLUMNS($D56:E56)))&amp;"/"&amp;INDEX(Beheer!$B$7:$B$36,COLUMNS($D56:E56)))</f>
        <v/>
      </c>
      <c r="F56" s="95" t="str" cm="1">
        <f t="array" ref="F56">IF(OR($A56="",COLUMNS($D56:F56)&gt;Beheer!$C$4),"",N(INDEX(Dashboard!$C$2:$AF$61,MATCH(LARGE(Dashboard!$AI$2:$AI$61,$A56),Dashboard!$AI$2:$AI$61,0),COLUMNS($D56:F56)))&amp;"/"&amp;INDEX(Beheer!$B$7:$B$36,COLUMNS($D56:F56)))</f>
        <v/>
      </c>
      <c r="G56" s="95" t="str" cm="1">
        <f t="array" ref="G56">IF(OR($A56="",COLUMNS($D56:G56)&gt;Beheer!$C$4),"",N(INDEX(Dashboard!$C$2:$AF$61,MATCH(LARGE(Dashboard!$AI$2:$AI$61,$A56),Dashboard!$AI$2:$AI$61,0),COLUMNS($D56:G56)))&amp;"/"&amp;INDEX(Beheer!$B$7:$B$36,COLUMNS($D56:G56)))</f>
        <v/>
      </c>
      <c r="H56" s="95" t="str" cm="1">
        <f t="array" ref="H56">IF(OR($A56="",COLUMNS($D56:H56)&gt;Beheer!$C$4),"",N(INDEX(Dashboard!$C$2:$AF$61,MATCH(LARGE(Dashboard!$AI$2:$AI$61,$A56),Dashboard!$AI$2:$AI$61,0),COLUMNS($D56:H56)))&amp;"/"&amp;INDEX(Beheer!$B$7:$B$36,COLUMNS($D56:H56)))</f>
        <v/>
      </c>
      <c r="I56" s="95" t="str" cm="1">
        <f t="array" ref="I56">IF(OR($A56="",COLUMNS($D56:I56)&gt;Beheer!$C$4),"",N(INDEX(Dashboard!$C$2:$AF$61,MATCH(LARGE(Dashboard!$AI$2:$AI$61,$A56),Dashboard!$AI$2:$AI$61,0),COLUMNS($D56:I56)))&amp;"/"&amp;INDEX(Beheer!$B$7:$B$36,COLUMNS($D56:I56)))</f>
        <v/>
      </c>
      <c r="J56" s="95" t="str" cm="1">
        <f t="array" ref="J56">IF(OR($A56="",COLUMNS($D56:J56)&gt;Beheer!$C$4),"",N(INDEX(Dashboard!$C$2:$AF$61,MATCH(LARGE(Dashboard!$AI$2:$AI$61,$A56),Dashboard!$AI$2:$AI$61,0),COLUMNS($D56:J56)))&amp;"/"&amp;INDEX(Beheer!$B$7:$B$36,COLUMNS($D56:J56)))</f>
        <v/>
      </c>
      <c r="K56" s="95" t="str" cm="1">
        <f t="array" ref="K56">IF(OR($A56="",COLUMNS($D56:K56)&gt;Beheer!$C$4),"",N(INDEX(Dashboard!$C$2:$AF$61,MATCH(LARGE(Dashboard!$AI$2:$AI$61,$A56),Dashboard!$AI$2:$AI$61,0),COLUMNS($D56:K56)))&amp;"/"&amp;INDEX(Beheer!$B$7:$B$36,COLUMNS($D56:K56)))</f>
        <v/>
      </c>
      <c r="L56" s="95" t="str" cm="1">
        <f t="array" ref="L56">IF(OR($A56="",COLUMNS($D56:L56)&gt;Beheer!$C$4),"",N(INDEX(Dashboard!$C$2:$AF$61,MATCH(LARGE(Dashboard!$AI$2:$AI$61,$A56),Dashboard!$AI$2:$AI$61,0),COLUMNS($D56:L56)))&amp;"/"&amp;INDEX(Beheer!$B$7:$B$36,COLUMNS($D56:L56)))</f>
        <v/>
      </c>
      <c r="M56" s="95" t="str" cm="1">
        <f t="array" ref="M56">IF(OR($A56="",COLUMNS($D56:M56)&gt;Beheer!$C$4),"",N(INDEX(Dashboard!$C$2:$AF$61,MATCH(LARGE(Dashboard!$AI$2:$AI$61,$A56),Dashboard!$AI$2:$AI$61,0),COLUMNS($D56:M56)))&amp;"/"&amp;INDEX(Beheer!$B$7:$B$36,COLUMNS($D56:M56)))</f>
        <v/>
      </c>
      <c r="N56" s="95" t="str" cm="1">
        <f t="array" ref="N56">IF(OR($A56="",COLUMNS($D56:N56)&gt;Beheer!$C$4),"",N(INDEX(Dashboard!$C$2:$AF$61,MATCH(LARGE(Dashboard!$AI$2:$AI$61,$A56),Dashboard!$AI$2:$AI$61,0),COLUMNS($D56:N56)))&amp;"/"&amp;INDEX(Beheer!$B$7:$B$36,COLUMNS($D56:N56)))</f>
        <v/>
      </c>
      <c r="O56" s="95" t="str" cm="1">
        <f t="array" ref="O56">IF(OR($A56="",COLUMNS($D56:O56)&gt;Beheer!$C$4),"",N(INDEX(Dashboard!$C$2:$AF$61,MATCH(LARGE(Dashboard!$AI$2:$AI$61,$A56),Dashboard!$AI$2:$AI$61,0),COLUMNS($D56:O56)))&amp;"/"&amp;INDEX(Beheer!$B$7:$B$36,COLUMNS($D56:O56)))</f>
        <v/>
      </c>
      <c r="P56" s="95" t="str" cm="1">
        <f t="array" ref="P56">IF(OR($A56="",COLUMNS($D56:P56)&gt;Beheer!$C$4),"",N(INDEX(Dashboard!$C$2:$AF$61,MATCH(LARGE(Dashboard!$AI$2:$AI$61,$A56),Dashboard!$AI$2:$AI$61,0),COLUMNS($D56:P56)))&amp;"/"&amp;INDEX(Beheer!$B$7:$B$36,COLUMNS($D56:P56)))</f>
        <v/>
      </c>
      <c r="Q56" s="95" t="str" cm="1">
        <f t="array" ref="Q56">IF(OR($A56="",COLUMNS($D56:Q56)&gt;Beheer!$C$4),"",N(INDEX(Dashboard!$C$2:$AF$61,MATCH(LARGE(Dashboard!$AI$2:$AI$61,$A56),Dashboard!$AI$2:$AI$61,0),COLUMNS($D56:Q56)))&amp;"/"&amp;INDEX(Beheer!$B$7:$B$36,COLUMNS($D56:Q56)))</f>
        <v/>
      </c>
      <c r="R56" s="95" t="str" cm="1">
        <f t="array" ref="R56">IF(OR($A56="",COLUMNS($D56:R56)&gt;Beheer!$C$4),"",N(INDEX(Dashboard!$C$2:$AF$61,MATCH(LARGE(Dashboard!$AI$2:$AI$61,$A56),Dashboard!$AI$2:$AI$61,0),COLUMNS($D56:R56)))&amp;"/"&amp;INDEX(Beheer!$B$7:$B$36,COLUMNS($D56:R56)))</f>
        <v/>
      </c>
      <c r="S56" s="95" t="str" cm="1">
        <f t="array" ref="S56">IF(OR($A56="",COLUMNS($D56:S56)&gt;Beheer!$C$4),"",N(INDEX(Dashboard!$C$2:$AF$61,MATCH(LARGE(Dashboard!$AI$2:$AI$61,$A56),Dashboard!$AI$2:$AI$61,0),COLUMNS($D56:S56)))&amp;"/"&amp;INDEX(Beheer!$B$7:$B$36,COLUMNS($D56:S56)))</f>
        <v/>
      </c>
      <c r="T56" s="95" t="str" cm="1">
        <f t="array" ref="T56">IF(OR($A56="",COLUMNS($D56:T56)&gt;Beheer!$C$4),"",N(INDEX(Dashboard!$C$2:$AF$61,MATCH(LARGE(Dashboard!$AI$2:$AI$61,$A56),Dashboard!$AI$2:$AI$61,0),COLUMNS($D56:T56)))&amp;"/"&amp;INDEX(Beheer!$B$7:$B$36,COLUMNS($D56:T56)))</f>
        <v/>
      </c>
      <c r="U56" s="95" t="str" cm="1">
        <f t="array" ref="U56">IF(OR($A56="",COLUMNS($D56:U56)&gt;Beheer!$C$4),"",N(INDEX(Dashboard!$C$2:$AF$61,MATCH(LARGE(Dashboard!$AI$2:$AI$61,$A56),Dashboard!$AI$2:$AI$61,0),COLUMNS($D56:U56)))&amp;"/"&amp;INDEX(Beheer!$B$7:$B$36,COLUMNS($D56:U56)))</f>
        <v/>
      </c>
      <c r="V56" s="95" t="str" cm="1">
        <f t="array" ref="V56">IF(OR($A56="",COLUMNS($D56:V56)&gt;Beheer!$C$4),"",N(INDEX(Dashboard!$C$2:$AF$61,MATCH(LARGE(Dashboard!$AI$2:$AI$61,$A56),Dashboard!$AI$2:$AI$61,0),COLUMNS($D56:V56)))&amp;"/"&amp;INDEX(Beheer!$B$7:$B$36,COLUMNS($D56:V56)))</f>
        <v/>
      </c>
      <c r="W56" s="95" t="str" cm="1">
        <f t="array" ref="W56">IF(OR($A56="",COLUMNS($D56:W56)&gt;Beheer!$C$4),"",N(INDEX(Dashboard!$C$2:$AF$61,MATCH(LARGE(Dashboard!$AI$2:$AI$61,$A56),Dashboard!$AI$2:$AI$61,0),COLUMNS($D56:W56)))&amp;"/"&amp;INDEX(Beheer!$B$7:$B$36,COLUMNS($D56:W56)))</f>
        <v/>
      </c>
      <c r="X56" s="95" t="str" cm="1">
        <f t="array" ref="X56">IF(OR($A56="",COLUMNS($D56:X56)&gt;Beheer!$C$4),"",N(INDEX(Dashboard!$C$2:$AF$61,MATCH(LARGE(Dashboard!$AI$2:$AI$61,$A56),Dashboard!$AI$2:$AI$61,0),COLUMNS($D56:X56)))&amp;"/"&amp;INDEX(Beheer!$B$7:$B$36,COLUMNS($D56:X56)))</f>
        <v/>
      </c>
      <c r="Y56" s="95" t="str" cm="1">
        <f t="array" ref="Y56">IF(OR($A56="",COLUMNS($D56:Y56)&gt;Beheer!$C$4),"",N(INDEX(Dashboard!$C$2:$AF$61,MATCH(LARGE(Dashboard!$AI$2:$AI$61,$A56),Dashboard!$AI$2:$AI$61,0),COLUMNS($D56:Y56)))&amp;"/"&amp;INDEX(Beheer!$B$7:$B$36,COLUMNS($D56:Y56)))</f>
        <v/>
      </c>
      <c r="Z56" s="95" t="str" cm="1">
        <f t="array" ref="Z56">IF(OR($A56="",COLUMNS($D56:Z56)&gt;Beheer!$C$4),"",N(INDEX(Dashboard!$C$2:$AF$61,MATCH(LARGE(Dashboard!$AI$2:$AI$61,$A56),Dashboard!$AI$2:$AI$61,0),COLUMNS($D56:Z56)))&amp;"/"&amp;INDEX(Beheer!$B$7:$B$36,COLUMNS($D56:Z56)))</f>
        <v/>
      </c>
      <c r="AA56" s="95" t="str" cm="1">
        <f t="array" ref="AA56">IF(OR($A56="",COLUMNS($D56:AA56)&gt;Beheer!$C$4),"",N(INDEX(Dashboard!$C$2:$AF$61,MATCH(LARGE(Dashboard!$AI$2:$AI$61,$A56),Dashboard!$AI$2:$AI$61,0),COLUMNS($D56:AA56)))&amp;"/"&amp;INDEX(Beheer!$B$7:$B$36,COLUMNS($D56:AA56)))</f>
        <v/>
      </c>
      <c r="AB56" s="95" t="str" cm="1">
        <f t="array" ref="AB56">IF(OR($A56="",COLUMNS($D56:AB56)&gt;Beheer!$C$4),"",N(INDEX(Dashboard!$C$2:$AF$61,MATCH(LARGE(Dashboard!$AI$2:$AI$61,$A56),Dashboard!$AI$2:$AI$61,0),COLUMNS($D56:AB56)))&amp;"/"&amp;INDEX(Beheer!$B$7:$B$36,COLUMNS($D56:AB56)))</f>
        <v/>
      </c>
      <c r="AC56" s="95" t="str" cm="1">
        <f t="array" ref="AC56">IF(OR($A56="",COLUMNS($D56:AC56)&gt;Beheer!$C$4),"",N(INDEX(Dashboard!$C$2:$AF$61,MATCH(LARGE(Dashboard!$AI$2:$AI$61,$A56),Dashboard!$AI$2:$AI$61,0),COLUMNS($D56:AC56)))&amp;"/"&amp;INDEX(Beheer!$B$7:$B$36,COLUMNS($D56:AC56)))</f>
        <v/>
      </c>
      <c r="AD56" s="95" t="str" cm="1">
        <f t="array" ref="AD56">IF(OR($A56="",COLUMNS($D56:AD56)&gt;Beheer!$C$4),"",N(INDEX(Dashboard!$C$2:$AF$61,MATCH(LARGE(Dashboard!$AI$2:$AI$61,$A56),Dashboard!$AI$2:$AI$61,0),COLUMNS($D56:AD56)))&amp;"/"&amp;INDEX(Beheer!$B$7:$B$36,COLUMNS($D56:AD56)))</f>
        <v/>
      </c>
      <c r="AE56" s="95" t="str" cm="1">
        <f t="array" ref="AE56">IF(OR($A56="",COLUMNS($D56:AE56)&gt;Beheer!$C$4),"",N(INDEX(Dashboard!$C$2:$AF$61,MATCH(LARGE(Dashboard!$AI$2:$AI$61,$A56),Dashboard!$AI$2:$AI$61,0),COLUMNS($D56:AE56)))&amp;"/"&amp;INDEX(Beheer!$B$7:$B$36,COLUMNS($D56:AE56)))</f>
        <v/>
      </c>
      <c r="AF56" s="95" t="str" cm="1">
        <f t="array" ref="AF56">IF(OR($A56="",COLUMNS($D56:AF56)&gt;Beheer!$C$4),"",N(INDEX(Dashboard!$C$2:$AF$61,MATCH(LARGE(Dashboard!$AI$2:$AI$61,$A56),Dashboard!$AI$2:$AI$61,0),COLUMNS($D56:AF56)))&amp;"/"&amp;INDEX(Beheer!$B$7:$B$36,COLUMNS($D56:AF56)))</f>
        <v/>
      </c>
      <c r="AG56" s="95" t="str" cm="1">
        <f t="array" ref="AG56">IF(OR($A56="",COLUMNS($D56:AG56)&gt;Beheer!$C$4),"",N(INDEX(Dashboard!$C$2:$AF$61,MATCH(LARGE(Dashboard!$AI$2:$AI$61,$A56),Dashboard!$AI$2:$AI$61,0),COLUMNS($D56:AG56)))&amp;"/"&amp;INDEX(Beheer!$B$7:$B$36,COLUMNS($D56:AG56)))</f>
        <v/>
      </c>
    </row>
    <row r="57" spans="1:33" ht="24" customHeight="1" thickBot="1" x14ac:dyDescent="0.5">
      <c r="A57" s="98" t="str">
        <f>IF(ROWS($A$2:A57)&gt;COUNTA(Beheer!$F$7:$F$66),"",ROWS($A$2:A57))</f>
        <v/>
      </c>
      <c r="B57" s="101" t="str">
        <f>IF($A57="","",INDEX(Dashboard!$A$2:$A$61,MATCH(LARGE(Dashboard!$AI$2:$AI$61,$A57),Dashboard!$AI$2:$AI$61,0)))</f>
        <v/>
      </c>
      <c r="C57" s="96" t="str">
        <f>IF($A57="","",INDEX(Dashboard!$AG$2:$AG$61,MATCH(LARGE(Dashboard!$AI$2:$AI$61,$A57),Dashboard!$AI$2:$AI$61,0))&amp;" / "&amp;INDEX(Dashboard!$AH$2:$AH$61,MATCH(LARGE(Dashboard!$AI$2:$AI$61,$A57),Dashboard!$AI$2:$AI$61,0)))</f>
        <v/>
      </c>
      <c r="D57" s="97" t="str" cm="1">
        <f t="array" ref="D57">IF(OR($A57="",COLUMNS($D57:D57)&gt;Beheer!$C$4),"",N(INDEX(Dashboard!$C$2:$AF$61,MATCH(LARGE(Dashboard!$AI$2:$AI$61,$A57),Dashboard!$AI$2:$AI$61,0),COLUMNS($D57:D57)))&amp;"/"&amp;INDEX(Beheer!$B$7:$B$36,COLUMNS($D57:D57)))</f>
        <v/>
      </c>
      <c r="E57" s="97" t="str" cm="1">
        <f t="array" ref="E57">IF(OR($A57="",COLUMNS($D57:E57)&gt;Beheer!$C$4),"",N(INDEX(Dashboard!$C$2:$AF$61,MATCH(LARGE(Dashboard!$AI$2:$AI$61,$A57),Dashboard!$AI$2:$AI$61,0),COLUMNS($D57:E57)))&amp;"/"&amp;INDEX(Beheer!$B$7:$B$36,COLUMNS($D57:E57)))</f>
        <v/>
      </c>
      <c r="F57" s="97" t="str" cm="1">
        <f t="array" ref="F57">IF(OR($A57="",COLUMNS($D57:F57)&gt;Beheer!$C$4),"",N(INDEX(Dashboard!$C$2:$AF$61,MATCH(LARGE(Dashboard!$AI$2:$AI$61,$A57),Dashboard!$AI$2:$AI$61,0),COLUMNS($D57:F57)))&amp;"/"&amp;INDEX(Beheer!$B$7:$B$36,COLUMNS($D57:F57)))</f>
        <v/>
      </c>
      <c r="G57" s="97" t="str" cm="1">
        <f t="array" ref="G57">IF(OR($A57="",COLUMNS($D57:G57)&gt;Beheer!$C$4),"",N(INDEX(Dashboard!$C$2:$AF$61,MATCH(LARGE(Dashboard!$AI$2:$AI$61,$A57),Dashboard!$AI$2:$AI$61,0),COLUMNS($D57:G57)))&amp;"/"&amp;INDEX(Beheer!$B$7:$B$36,COLUMNS($D57:G57)))</f>
        <v/>
      </c>
      <c r="H57" s="97" t="str" cm="1">
        <f t="array" ref="H57">IF(OR($A57="",COLUMNS($D57:H57)&gt;Beheer!$C$4),"",N(INDEX(Dashboard!$C$2:$AF$61,MATCH(LARGE(Dashboard!$AI$2:$AI$61,$A57),Dashboard!$AI$2:$AI$61,0),COLUMNS($D57:H57)))&amp;"/"&amp;INDEX(Beheer!$B$7:$B$36,COLUMNS($D57:H57)))</f>
        <v/>
      </c>
      <c r="I57" s="97" t="str" cm="1">
        <f t="array" ref="I57">IF(OR($A57="",COLUMNS($D57:I57)&gt;Beheer!$C$4),"",N(INDEX(Dashboard!$C$2:$AF$61,MATCH(LARGE(Dashboard!$AI$2:$AI$61,$A57),Dashboard!$AI$2:$AI$61,0),COLUMNS($D57:I57)))&amp;"/"&amp;INDEX(Beheer!$B$7:$B$36,COLUMNS($D57:I57)))</f>
        <v/>
      </c>
      <c r="J57" s="97" t="str" cm="1">
        <f t="array" ref="J57">IF(OR($A57="",COLUMNS($D57:J57)&gt;Beheer!$C$4),"",N(INDEX(Dashboard!$C$2:$AF$61,MATCH(LARGE(Dashboard!$AI$2:$AI$61,$A57),Dashboard!$AI$2:$AI$61,0),COLUMNS($D57:J57)))&amp;"/"&amp;INDEX(Beheer!$B$7:$B$36,COLUMNS($D57:J57)))</f>
        <v/>
      </c>
      <c r="K57" s="97" t="str" cm="1">
        <f t="array" ref="K57">IF(OR($A57="",COLUMNS($D57:K57)&gt;Beheer!$C$4),"",N(INDEX(Dashboard!$C$2:$AF$61,MATCH(LARGE(Dashboard!$AI$2:$AI$61,$A57),Dashboard!$AI$2:$AI$61,0),COLUMNS($D57:K57)))&amp;"/"&amp;INDEX(Beheer!$B$7:$B$36,COLUMNS($D57:K57)))</f>
        <v/>
      </c>
      <c r="L57" s="97" t="str" cm="1">
        <f t="array" ref="L57">IF(OR($A57="",COLUMNS($D57:L57)&gt;Beheer!$C$4),"",N(INDEX(Dashboard!$C$2:$AF$61,MATCH(LARGE(Dashboard!$AI$2:$AI$61,$A57),Dashboard!$AI$2:$AI$61,0),COLUMNS($D57:L57)))&amp;"/"&amp;INDEX(Beheer!$B$7:$B$36,COLUMNS($D57:L57)))</f>
        <v/>
      </c>
      <c r="M57" s="97" t="str" cm="1">
        <f t="array" ref="M57">IF(OR($A57="",COLUMNS($D57:M57)&gt;Beheer!$C$4),"",N(INDEX(Dashboard!$C$2:$AF$61,MATCH(LARGE(Dashboard!$AI$2:$AI$61,$A57),Dashboard!$AI$2:$AI$61,0),COLUMNS($D57:M57)))&amp;"/"&amp;INDEX(Beheer!$B$7:$B$36,COLUMNS($D57:M57)))</f>
        <v/>
      </c>
      <c r="N57" s="97" t="str" cm="1">
        <f t="array" ref="N57">IF(OR($A57="",COLUMNS($D57:N57)&gt;Beheer!$C$4),"",N(INDEX(Dashboard!$C$2:$AF$61,MATCH(LARGE(Dashboard!$AI$2:$AI$61,$A57),Dashboard!$AI$2:$AI$61,0),COLUMNS($D57:N57)))&amp;"/"&amp;INDEX(Beheer!$B$7:$B$36,COLUMNS($D57:N57)))</f>
        <v/>
      </c>
      <c r="O57" s="97" t="str" cm="1">
        <f t="array" ref="O57">IF(OR($A57="",COLUMNS($D57:O57)&gt;Beheer!$C$4),"",N(INDEX(Dashboard!$C$2:$AF$61,MATCH(LARGE(Dashboard!$AI$2:$AI$61,$A57),Dashboard!$AI$2:$AI$61,0),COLUMNS($D57:O57)))&amp;"/"&amp;INDEX(Beheer!$B$7:$B$36,COLUMNS($D57:O57)))</f>
        <v/>
      </c>
      <c r="P57" s="97" t="str" cm="1">
        <f t="array" ref="P57">IF(OR($A57="",COLUMNS($D57:P57)&gt;Beheer!$C$4),"",N(INDEX(Dashboard!$C$2:$AF$61,MATCH(LARGE(Dashboard!$AI$2:$AI$61,$A57),Dashboard!$AI$2:$AI$61,0),COLUMNS($D57:P57)))&amp;"/"&amp;INDEX(Beheer!$B$7:$B$36,COLUMNS($D57:P57)))</f>
        <v/>
      </c>
      <c r="Q57" s="97" t="str" cm="1">
        <f t="array" ref="Q57">IF(OR($A57="",COLUMNS($D57:Q57)&gt;Beheer!$C$4),"",N(INDEX(Dashboard!$C$2:$AF$61,MATCH(LARGE(Dashboard!$AI$2:$AI$61,$A57),Dashboard!$AI$2:$AI$61,0),COLUMNS($D57:Q57)))&amp;"/"&amp;INDEX(Beheer!$B$7:$B$36,COLUMNS($D57:Q57)))</f>
        <v/>
      </c>
      <c r="R57" s="97" t="str" cm="1">
        <f t="array" ref="R57">IF(OR($A57="",COLUMNS($D57:R57)&gt;Beheer!$C$4),"",N(INDEX(Dashboard!$C$2:$AF$61,MATCH(LARGE(Dashboard!$AI$2:$AI$61,$A57),Dashboard!$AI$2:$AI$61,0),COLUMNS($D57:R57)))&amp;"/"&amp;INDEX(Beheer!$B$7:$B$36,COLUMNS($D57:R57)))</f>
        <v/>
      </c>
      <c r="S57" s="97" t="str" cm="1">
        <f t="array" ref="S57">IF(OR($A57="",COLUMNS($D57:S57)&gt;Beheer!$C$4),"",N(INDEX(Dashboard!$C$2:$AF$61,MATCH(LARGE(Dashboard!$AI$2:$AI$61,$A57),Dashboard!$AI$2:$AI$61,0),COLUMNS($D57:S57)))&amp;"/"&amp;INDEX(Beheer!$B$7:$B$36,COLUMNS($D57:S57)))</f>
        <v/>
      </c>
      <c r="T57" s="97" t="str" cm="1">
        <f t="array" ref="T57">IF(OR($A57="",COLUMNS($D57:T57)&gt;Beheer!$C$4),"",N(INDEX(Dashboard!$C$2:$AF$61,MATCH(LARGE(Dashboard!$AI$2:$AI$61,$A57),Dashboard!$AI$2:$AI$61,0),COLUMNS($D57:T57)))&amp;"/"&amp;INDEX(Beheer!$B$7:$B$36,COLUMNS($D57:T57)))</f>
        <v/>
      </c>
      <c r="U57" s="97" t="str" cm="1">
        <f t="array" ref="U57">IF(OR($A57="",COLUMNS($D57:U57)&gt;Beheer!$C$4),"",N(INDEX(Dashboard!$C$2:$AF$61,MATCH(LARGE(Dashboard!$AI$2:$AI$61,$A57),Dashboard!$AI$2:$AI$61,0),COLUMNS($D57:U57)))&amp;"/"&amp;INDEX(Beheer!$B$7:$B$36,COLUMNS($D57:U57)))</f>
        <v/>
      </c>
      <c r="V57" s="97" t="str" cm="1">
        <f t="array" ref="V57">IF(OR($A57="",COLUMNS($D57:V57)&gt;Beheer!$C$4),"",N(INDEX(Dashboard!$C$2:$AF$61,MATCH(LARGE(Dashboard!$AI$2:$AI$61,$A57),Dashboard!$AI$2:$AI$61,0),COLUMNS($D57:V57)))&amp;"/"&amp;INDEX(Beheer!$B$7:$B$36,COLUMNS($D57:V57)))</f>
        <v/>
      </c>
      <c r="W57" s="97" t="str" cm="1">
        <f t="array" ref="W57">IF(OR($A57="",COLUMNS($D57:W57)&gt;Beheer!$C$4),"",N(INDEX(Dashboard!$C$2:$AF$61,MATCH(LARGE(Dashboard!$AI$2:$AI$61,$A57),Dashboard!$AI$2:$AI$61,0),COLUMNS($D57:W57)))&amp;"/"&amp;INDEX(Beheer!$B$7:$B$36,COLUMNS($D57:W57)))</f>
        <v/>
      </c>
      <c r="X57" s="97" t="str" cm="1">
        <f t="array" ref="X57">IF(OR($A57="",COLUMNS($D57:X57)&gt;Beheer!$C$4),"",N(INDEX(Dashboard!$C$2:$AF$61,MATCH(LARGE(Dashboard!$AI$2:$AI$61,$A57),Dashboard!$AI$2:$AI$61,0),COLUMNS($D57:X57)))&amp;"/"&amp;INDEX(Beheer!$B$7:$B$36,COLUMNS($D57:X57)))</f>
        <v/>
      </c>
      <c r="Y57" s="97" t="str" cm="1">
        <f t="array" ref="Y57">IF(OR($A57="",COLUMNS($D57:Y57)&gt;Beheer!$C$4),"",N(INDEX(Dashboard!$C$2:$AF$61,MATCH(LARGE(Dashboard!$AI$2:$AI$61,$A57),Dashboard!$AI$2:$AI$61,0),COLUMNS($D57:Y57)))&amp;"/"&amp;INDEX(Beheer!$B$7:$B$36,COLUMNS($D57:Y57)))</f>
        <v/>
      </c>
      <c r="Z57" s="97" t="str" cm="1">
        <f t="array" ref="Z57">IF(OR($A57="",COLUMNS($D57:Z57)&gt;Beheer!$C$4),"",N(INDEX(Dashboard!$C$2:$AF$61,MATCH(LARGE(Dashboard!$AI$2:$AI$61,$A57),Dashboard!$AI$2:$AI$61,0),COLUMNS($D57:Z57)))&amp;"/"&amp;INDEX(Beheer!$B$7:$B$36,COLUMNS($D57:Z57)))</f>
        <v/>
      </c>
      <c r="AA57" s="97" t="str" cm="1">
        <f t="array" ref="AA57">IF(OR($A57="",COLUMNS($D57:AA57)&gt;Beheer!$C$4),"",N(INDEX(Dashboard!$C$2:$AF$61,MATCH(LARGE(Dashboard!$AI$2:$AI$61,$A57),Dashboard!$AI$2:$AI$61,0),COLUMNS($D57:AA57)))&amp;"/"&amp;INDEX(Beheer!$B$7:$B$36,COLUMNS($D57:AA57)))</f>
        <v/>
      </c>
      <c r="AB57" s="97" t="str" cm="1">
        <f t="array" ref="AB57">IF(OR($A57="",COLUMNS($D57:AB57)&gt;Beheer!$C$4),"",N(INDEX(Dashboard!$C$2:$AF$61,MATCH(LARGE(Dashboard!$AI$2:$AI$61,$A57),Dashboard!$AI$2:$AI$61,0),COLUMNS($D57:AB57)))&amp;"/"&amp;INDEX(Beheer!$B$7:$B$36,COLUMNS($D57:AB57)))</f>
        <v/>
      </c>
      <c r="AC57" s="97" t="str" cm="1">
        <f t="array" ref="AC57">IF(OR($A57="",COLUMNS($D57:AC57)&gt;Beheer!$C$4),"",N(INDEX(Dashboard!$C$2:$AF$61,MATCH(LARGE(Dashboard!$AI$2:$AI$61,$A57),Dashboard!$AI$2:$AI$61,0),COLUMNS($D57:AC57)))&amp;"/"&amp;INDEX(Beheer!$B$7:$B$36,COLUMNS($D57:AC57)))</f>
        <v/>
      </c>
      <c r="AD57" s="97" t="str" cm="1">
        <f t="array" ref="AD57">IF(OR($A57="",COLUMNS($D57:AD57)&gt;Beheer!$C$4),"",N(INDEX(Dashboard!$C$2:$AF$61,MATCH(LARGE(Dashboard!$AI$2:$AI$61,$A57),Dashboard!$AI$2:$AI$61,0),COLUMNS($D57:AD57)))&amp;"/"&amp;INDEX(Beheer!$B$7:$B$36,COLUMNS($D57:AD57)))</f>
        <v/>
      </c>
      <c r="AE57" s="97" t="str" cm="1">
        <f t="array" ref="AE57">IF(OR($A57="",COLUMNS($D57:AE57)&gt;Beheer!$C$4),"",N(INDEX(Dashboard!$C$2:$AF$61,MATCH(LARGE(Dashboard!$AI$2:$AI$61,$A57),Dashboard!$AI$2:$AI$61,0),COLUMNS($D57:AE57)))&amp;"/"&amp;INDEX(Beheer!$B$7:$B$36,COLUMNS($D57:AE57)))</f>
        <v/>
      </c>
      <c r="AF57" s="97" t="str" cm="1">
        <f t="array" ref="AF57">IF(OR($A57="",COLUMNS($D57:AF57)&gt;Beheer!$C$4),"",N(INDEX(Dashboard!$C$2:$AF$61,MATCH(LARGE(Dashboard!$AI$2:$AI$61,$A57),Dashboard!$AI$2:$AI$61,0),COLUMNS($D57:AF57)))&amp;"/"&amp;INDEX(Beheer!$B$7:$B$36,COLUMNS($D57:AF57)))</f>
        <v/>
      </c>
      <c r="AG57" s="97" t="str" cm="1">
        <f t="array" ref="AG57">IF(OR($A57="",COLUMNS($D57:AG57)&gt;Beheer!$C$4),"",N(INDEX(Dashboard!$C$2:$AF$61,MATCH(LARGE(Dashboard!$AI$2:$AI$61,$A57),Dashboard!$AI$2:$AI$61,0),COLUMNS($D57:AG57)))&amp;"/"&amp;INDEX(Beheer!$B$7:$B$36,COLUMNS($D57:AG57)))</f>
        <v/>
      </c>
    </row>
    <row r="58" spans="1:33" ht="24" customHeight="1" thickBot="1" x14ac:dyDescent="0.5">
      <c r="A58" s="99" t="str">
        <f>IF(ROWS($A$2:A58)&gt;COUNTA(Beheer!$F$7:$F$66),"",ROWS($A$2:A58))</f>
        <v/>
      </c>
      <c r="B58" s="102" t="str">
        <f>IF($A58="","",INDEX(Dashboard!$A$2:$A$61,MATCH(LARGE(Dashboard!$AI$2:$AI$61,$A58),Dashboard!$AI$2:$AI$61,0)))</f>
        <v/>
      </c>
      <c r="C58" s="94" t="str">
        <f>IF($A58="","",INDEX(Dashboard!$AG$2:$AG$61,MATCH(LARGE(Dashboard!$AI$2:$AI$61,$A58),Dashboard!$AI$2:$AI$61,0))&amp;" / "&amp;INDEX(Dashboard!$AH$2:$AH$61,MATCH(LARGE(Dashboard!$AI$2:$AI$61,$A58),Dashboard!$AI$2:$AI$61,0)))</f>
        <v/>
      </c>
      <c r="D58" s="95" t="str" cm="1">
        <f t="array" ref="D58">IF(OR($A58="",COLUMNS($D58:D58)&gt;Beheer!$C$4),"",N(INDEX(Dashboard!$C$2:$AF$61,MATCH(LARGE(Dashboard!$AI$2:$AI$61,$A58),Dashboard!$AI$2:$AI$61,0),COLUMNS($D58:D58)))&amp;"/"&amp;INDEX(Beheer!$B$7:$B$36,COLUMNS($D58:D58)))</f>
        <v/>
      </c>
      <c r="E58" s="95" t="str" cm="1">
        <f t="array" ref="E58">IF(OR($A58="",COLUMNS($D58:E58)&gt;Beheer!$C$4),"",N(INDEX(Dashboard!$C$2:$AF$61,MATCH(LARGE(Dashboard!$AI$2:$AI$61,$A58),Dashboard!$AI$2:$AI$61,0),COLUMNS($D58:E58)))&amp;"/"&amp;INDEX(Beheer!$B$7:$B$36,COLUMNS($D58:E58)))</f>
        <v/>
      </c>
      <c r="F58" s="95" t="str" cm="1">
        <f t="array" ref="F58">IF(OR($A58="",COLUMNS($D58:F58)&gt;Beheer!$C$4),"",N(INDEX(Dashboard!$C$2:$AF$61,MATCH(LARGE(Dashboard!$AI$2:$AI$61,$A58),Dashboard!$AI$2:$AI$61,0),COLUMNS($D58:F58)))&amp;"/"&amp;INDEX(Beheer!$B$7:$B$36,COLUMNS($D58:F58)))</f>
        <v/>
      </c>
      <c r="G58" s="95" t="str" cm="1">
        <f t="array" ref="G58">IF(OR($A58="",COLUMNS($D58:G58)&gt;Beheer!$C$4),"",N(INDEX(Dashboard!$C$2:$AF$61,MATCH(LARGE(Dashboard!$AI$2:$AI$61,$A58),Dashboard!$AI$2:$AI$61,0),COLUMNS($D58:G58)))&amp;"/"&amp;INDEX(Beheer!$B$7:$B$36,COLUMNS($D58:G58)))</f>
        <v/>
      </c>
      <c r="H58" s="95" t="str" cm="1">
        <f t="array" ref="H58">IF(OR($A58="",COLUMNS($D58:H58)&gt;Beheer!$C$4),"",N(INDEX(Dashboard!$C$2:$AF$61,MATCH(LARGE(Dashboard!$AI$2:$AI$61,$A58),Dashboard!$AI$2:$AI$61,0),COLUMNS($D58:H58)))&amp;"/"&amp;INDEX(Beheer!$B$7:$B$36,COLUMNS($D58:H58)))</f>
        <v/>
      </c>
      <c r="I58" s="95" t="str" cm="1">
        <f t="array" ref="I58">IF(OR($A58="",COLUMNS($D58:I58)&gt;Beheer!$C$4),"",N(INDEX(Dashboard!$C$2:$AF$61,MATCH(LARGE(Dashboard!$AI$2:$AI$61,$A58),Dashboard!$AI$2:$AI$61,0),COLUMNS($D58:I58)))&amp;"/"&amp;INDEX(Beheer!$B$7:$B$36,COLUMNS($D58:I58)))</f>
        <v/>
      </c>
      <c r="J58" s="95" t="str" cm="1">
        <f t="array" ref="J58">IF(OR($A58="",COLUMNS($D58:J58)&gt;Beheer!$C$4),"",N(INDEX(Dashboard!$C$2:$AF$61,MATCH(LARGE(Dashboard!$AI$2:$AI$61,$A58),Dashboard!$AI$2:$AI$61,0),COLUMNS($D58:J58)))&amp;"/"&amp;INDEX(Beheer!$B$7:$B$36,COLUMNS($D58:J58)))</f>
        <v/>
      </c>
      <c r="K58" s="95" t="str" cm="1">
        <f t="array" ref="K58">IF(OR($A58="",COLUMNS($D58:K58)&gt;Beheer!$C$4),"",N(INDEX(Dashboard!$C$2:$AF$61,MATCH(LARGE(Dashboard!$AI$2:$AI$61,$A58),Dashboard!$AI$2:$AI$61,0),COLUMNS($D58:K58)))&amp;"/"&amp;INDEX(Beheer!$B$7:$B$36,COLUMNS($D58:K58)))</f>
        <v/>
      </c>
      <c r="L58" s="95" t="str" cm="1">
        <f t="array" ref="L58">IF(OR($A58="",COLUMNS($D58:L58)&gt;Beheer!$C$4),"",N(INDEX(Dashboard!$C$2:$AF$61,MATCH(LARGE(Dashboard!$AI$2:$AI$61,$A58),Dashboard!$AI$2:$AI$61,0),COLUMNS($D58:L58)))&amp;"/"&amp;INDEX(Beheer!$B$7:$B$36,COLUMNS($D58:L58)))</f>
        <v/>
      </c>
      <c r="M58" s="95" t="str" cm="1">
        <f t="array" ref="M58">IF(OR($A58="",COLUMNS($D58:M58)&gt;Beheer!$C$4),"",N(INDEX(Dashboard!$C$2:$AF$61,MATCH(LARGE(Dashboard!$AI$2:$AI$61,$A58),Dashboard!$AI$2:$AI$61,0),COLUMNS($D58:M58)))&amp;"/"&amp;INDEX(Beheer!$B$7:$B$36,COLUMNS($D58:M58)))</f>
        <v/>
      </c>
      <c r="N58" s="95" t="str" cm="1">
        <f t="array" ref="N58">IF(OR($A58="",COLUMNS($D58:N58)&gt;Beheer!$C$4),"",N(INDEX(Dashboard!$C$2:$AF$61,MATCH(LARGE(Dashboard!$AI$2:$AI$61,$A58),Dashboard!$AI$2:$AI$61,0),COLUMNS($D58:N58)))&amp;"/"&amp;INDEX(Beheer!$B$7:$B$36,COLUMNS($D58:N58)))</f>
        <v/>
      </c>
      <c r="O58" s="95" t="str" cm="1">
        <f t="array" ref="O58">IF(OR($A58="",COLUMNS($D58:O58)&gt;Beheer!$C$4),"",N(INDEX(Dashboard!$C$2:$AF$61,MATCH(LARGE(Dashboard!$AI$2:$AI$61,$A58),Dashboard!$AI$2:$AI$61,0),COLUMNS($D58:O58)))&amp;"/"&amp;INDEX(Beheer!$B$7:$B$36,COLUMNS($D58:O58)))</f>
        <v/>
      </c>
      <c r="P58" s="95" t="str" cm="1">
        <f t="array" ref="P58">IF(OR($A58="",COLUMNS($D58:P58)&gt;Beheer!$C$4),"",N(INDEX(Dashboard!$C$2:$AF$61,MATCH(LARGE(Dashboard!$AI$2:$AI$61,$A58),Dashboard!$AI$2:$AI$61,0),COLUMNS($D58:P58)))&amp;"/"&amp;INDEX(Beheer!$B$7:$B$36,COLUMNS($D58:P58)))</f>
        <v/>
      </c>
      <c r="Q58" s="95" t="str" cm="1">
        <f t="array" ref="Q58">IF(OR($A58="",COLUMNS($D58:Q58)&gt;Beheer!$C$4),"",N(INDEX(Dashboard!$C$2:$AF$61,MATCH(LARGE(Dashboard!$AI$2:$AI$61,$A58),Dashboard!$AI$2:$AI$61,0),COLUMNS($D58:Q58)))&amp;"/"&amp;INDEX(Beheer!$B$7:$B$36,COLUMNS($D58:Q58)))</f>
        <v/>
      </c>
      <c r="R58" s="95" t="str" cm="1">
        <f t="array" ref="R58">IF(OR($A58="",COLUMNS($D58:R58)&gt;Beheer!$C$4),"",N(INDEX(Dashboard!$C$2:$AF$61,MATCH(LARGE(Dashboard!$AI$2:$AI$61,$A58),Dashboard!$AI$2:$AI$61,0),COLUMNS($D58:R58)))&amp;"/"&amp;INDEX(Beheer!$B$7:$B$36,COLUMNS($D58:R58)))</f>
        <v/>
      </c>
      <c r="S58" s="95" t="str" cm="1">
        <f t="array" ref="S58">IF(OR($A58="",COLUMNS($D58:S58)&gt;Beheer!$C$4),"",N(INDEX(Dashboard!$C$2:$AF$61,MATCH(LARGE(Dashboard!$AI$2:$AI$61,$A58),Dashboard!$AI$2:$AI$61,0),COLUMNS($D58:S58)))&amp;"/"&amp;INDEX(Beheer!$B$7:$B$36,COLUMNS($D58:S58)))</f>
        <v/>
      </c>
      <c r="T58" s="95" t="str" cm="1">
        <f t="array" ref="T58">IF(OR($A58="",COLUMNS($D58:T58)&gt;Beheer!$C$4),"",N(INDEX(Dashboard!$C$2:$AF$61,MATCH(LARGE(Dashboard!$AI$2:$AI$61,$A58),Dashboard!$AI$2:$AI$61,0),COLUMNS($D58:T58)))&amp;"/"&amp;INDEX(Beheer!$B$7:$B$36,COLUMNS($D58:T58)))</f>
        <v/>
      </c>
      <c r="U58" s="95" t="str" cm="1">
        <f t="array" ref="U58">IF(OR($A58="",COLUMNS($D58:U58)&gt;Beheer!$C$4),"",N(INDEX(Dashboard!$C$2:$AF$61,MATCH(LARGE(Dashboard!$AI$2:$AI$61,$A58),Dashboard!$AI$2:$AI$61,0),COLUMNS($D58:U58)))&amp;"/"&amp;INDEX(Beheer!$B$7:$B$36,COLUMNS($D58:U58)))</f>
        <v/>
      </c>
      <c r="V58" s="95" t="str" cm="1">
        <f t="array" ref="V58">IF(OR($A58="",COLUMNS($D58:V58)&gt;Beheer!$C$4),"",N(INDEX(Dashboard!$C$2:$AF$61,MATCH(LARGE(Dashboard!$AI$2:$AI$61,$A58),Dashboard!$AI$2:$AI$61,0),COLUMNS($D58:V58)))&amp;"/"&amp;INDEX(Beheer!$B$7:$B$36,COLUMNS($D58:V58)))</f>
        <v/>
      </c>
      <c r="W58" s="95" t="str" cm="1">
        <f t="array" ref="W58">IF(OR($A58="",COLUMNS($D58:W58)&gt;Beheer!$C$4),"",N(INDEX(Dashboard!$C$2:$AF$61,MATCH(LARGE(Dashboard!$AI$2:$AI$61,$A58),Dashboard!$AI$2:$AI$61,0),COLUMNS($D58:W58)))&amp;"/"&amp;INDEX(Beheer!$B$7:$B$36,COLUMNS($D58:W58)))</f>
        <v/>
      </c>
      <c r="X58" s="95" t="str" cm="1">
        <f t="array" ref="X58">IF(OR($A58="",COLUMNS($D58:X58)&gt;Beheer!$C$4),"",N(INDEX(Dashboard!$C$2:$AF$61,MATCH(LARGE(Dashboard!$AI$2:$AI$61,$A58),Dashboard!$AI$2:$AI$61,0),COLUMNS($D58:X58)))&amp;"/"&amp;INDEX(Beheer!$B$7:$B$36,COLUMNS($D58:X58)))</f>
        <v/>
      </c>
      <c r="Y58" s="95" t="str" cm="1">
        <f t="array" ref="Y58">IF(OR($A58="",COLUMNS($D58:Y58)&gt;Beheer!$C$4),"",N(INDEX(Dashboard!$C$2:$AF$61,MATCH(LARGE(Dashboard!$AI$2:$AI$61,$A58),Dashboard!$AI$2:$AI$61,0),COLUMNS($D58:Y58)))&amp;"/"&amp;INDEX(Beheer!$B$7:$B$36,COLUMNS($D58:Y58)))</f>
        <v/>
      </c>
      <c r="Z58" s="95" t="str" cm="1">
        <f t="array" ref="Z58">IF(OR($A58="",COLUMNS($D58:Z58)&gt;Beheer!$C$4),"",N(INDEX(Dashboard!$C$2:$AF$61,MATCH(LARGE(Dashboard!$AI$2:$AI$61,$A58),Dashboard!$AI$2:$AI$61,0),COLUMNS($D58:Z58)))&amp;"/"&amp;INDEX(Beheer!$B$7:$B$36,COLUMNS($D58:Z58)))</f>
        <v/>
      </c>
      <c r="AA58" s="95" t="str" cm="1">
        <f t="array" ref="AA58">IF(OR($A58="",COLUMNS($D58:AA58)&gt;Beheer!$C$4),"",N(INDEX(Dashboard!$C$2:$AF$61,MATCH(LARGE(Dashboard!$AI$2:$AI$61,$A58),Dashboard!$AI$2:$AI$61,0),COLUMNS($D58:AA58)))&amp;"/"&amp;INDEX(Beheer!$B$7:$B$36,COLUMNS($D58:AA58)))</f>
        <v/>
      </c>
      <c r="AB58" s="95" t="str" cm="1">
        <f t="array" ref="AB58">IF(OR($A58="",COLUMNS($D58:AB58)&gt;Beheer!$C$4),"",N(INDEX(Dashboard!$C$2:$AF$61,MATCH(LARGE(Dashboard!$AI$2:$AI$61,$A58),Dashboard!$AI$2:$AI$61,0),COLUMNS($D58:AB58)))&amp;"/"&amp;INDEX(Beheer!$B$7:$B$36,COLUMNS($D58:AB58)))</f>
        <v/>
      </c>
      <c r="AC58" s="95" t="str" cm="1">
        <f t="array" ref="AC58">IF(OR($A58="",COLUMNS($D58:AC58)&gt;Beheer!$C$4),"",N(INDEX(Dashboard!$C$2:$AF$61,MATCH(LARGE(Dashboard!$AI$2:$AI$61,$A58),Dashboard!$AI$2:$AI$61,0),COLUMNS($D58:AC58)))&amp;"/"&amp;INDEX(Beheer!$B$7:$B$36,COLUMNS($D58:AC58)))</f>
        <v/>
      </c>
      <c r="AD58" s="95" t="str" cm="1">
        <f t="array" ref="AD58">IF(OR($A58="",COLUMNS($D58:AD58)&gt;Beheer!$C$4),"",N(INDEX(Dashboard!$C$2:$AF$61,MATCH(LARGE(Dashboard!$AI$2:$AI$61,$A58),Dashboard!$AI$2:$AI$61,0),COLUMNS($D58:AD58)))&amp;"/"&amp;INDEX(Beheer!$B$7:$B$36,COLUMNS($D58:AD58)))</f>
        <v/>
      </c>
      <c r="AE58" s="95" t="str" cm="1">
        <f t="array" ref="AE58">IF(OR($A58="",COLUMNS($D58:AE58)&gt;Beheer!$C$4),"",N(INDEX(Dashboard!$C$2:$AF$61,MATCH(LARGE(Dashboard!$AI$2:$AI$61,$A58),Dashboard!$AI$2:$AI$61,0),COLUMNS($D58:AE58)))&amp;"/"&amp;INDEX(Beheer!$B$7:$B$36,COLUMNS($D58:AE58)))</f>
        <v/>
      </c>
      <c r="AF58" s="95" t="str" cm="1">
        <f t="array" ref="AF58">IF(OR($A58="",COLUMNS($D58:AF58)&gt;Beheer!$C$4),"",N(INDEX(Dashboard!$C$2:$AF$61,MATCH(LARGE(Dashboard!$AI$2:$AI$61,$A58),Dashboard!$AI$2:$AI$61,0),COLUMNS($D58:AF58)))&amp;"/"&amp;INDEX(Beheer!$B$7:$B$36,COLUMNS($D58:AF58)))</f>
        <v/>
      </c>
      <c r="AG58" s="95" t="str" cm="1">
        <f t="array" ref="AG58">IF(OR($A58="",COLUMNS($D58:AG58)&gt;Beheer!$C$4),"",N(INDEX(Dashboard!$C$2:$AF$61,MATCH(LARGE(Dashboard!$AI$2:$AI$61,$A58),Dashboard!$AI$2:$AI$61,0),COLUMNS($D58:AG58)))&amp;"/"&amp;INDEX(Beheer!$B$7:$B$36,COLUMNS($D58:AG58)))</f>
        <v/>
      </c>
    </row>
    <row r="59" spans="1:33" ht="24" customHeight="1" thickBot="1" x14ac:dyDescent="0.5">
      <c r="A59" s="98" t="str">
        <f>IF(ROWS($A$2:A59)&gt;COUNTA(Beheer!$F$7:$F$66),"",ROWS($A$2:A59))</f>
        <v/>
      </c>
      <c r="B59" s="101" t="str">
        <f>IF($A59="","",INDEX(Dashboard!$A$2:$A$61,MATCH(LARGE(Dashboard!$AI$2:$AI$61,$A59),Dashboard!$AI$2:$AI$61,0)))</f>
        <v/>
      </c>
      <c r="C59" s="96" t="str">
        <f>IF($A59="","",INDEX(Dashboard!$AG$2:$AG$61,MATCH(LARGE(Dashboard!$AI$2:$AI$61,$A59),Dashboard!$AI$2:$AI$61,0))&amp;" / "&amp;INDEX(Dashboard!$AH$2:$AH$61,MATCH(LARGE(Dashboard!$AI$2:$AI$61,$A59),Dashboard!$AI$2:$AI$61,0)))</f>
        <v/>
      </c>
      <c r="D59" s="97" t="str" cm="1">
        <f t="array" ref="D59">IF(OR($A59="",COLUMNS($D59:D59)&gt;Beheer!$C$4),"",N(INDEX(Dashboard!$C$2:$AF$61,MATCH(LARGE(Dashboard!$AI$2:$AI$61,$A59),Dashboard!$AI$2:$AI$61,0),COLUMNS($D59:D59)))&amp;"/"&amp;INDEX(Beheer!$B$7:$B$36,COLUMNS($D59:D59)))</f>
        <v/>
      </c>
      <c r="E59" s="97" t="str" cm="1">
        <f t="array" ref="E59">IF(OR($A59="",COLUMNS($D59:E59)&gt;Beheer!$C$4),"",N(INDEX(Dashboard!$C$2:$AF$61,MATCH(LARGE(Dashboard!$AI$2:$AI$61,$A59),Dashboard!$AI$2:$AI$61,0),COLUMNS($D59:E59)))&amp;"/"&amp;INDEX(Beheer!$B$7:$B$36,COLUMNS($D59:E59)))</f>
        <v/>
      </c>
      <c r="F59" s="97" t="str" cm="1">
        <f t="array" ref="F59">IF(OR($A59="",COLUMNS($D59:F59)&gt;Beheer!$C$4),"",N(INDEX(Dashboard!$C$2:$AF$61,MATCH(LARGE(Dashboard!$AI$2:$AI$61,$A59),Dashboard!$AI$2:$AI$61,0),COLUMNS($D59:F59)))&amp;"/"&amp;INDEX(Beheer!$B$7:$B$36,COLUMNS($D59:F59)))</f>
        <v/>
      </c>
      <c r="G59" s="97" t="str" cm="1">
        <f t="array" ref="G59">IF(OR($A59="",COLUMNS($D59:G59)&gt;Beheer!$C$4),"",N(INDEX(Dashboard!$C$2:$AF$61,MATCH(LARGE(Dashboard!$AI$2:$AI$61,$A59),Dashboard!$AI$2:$AI$61,0),COLUMNS($D59:G59)))&amp;"/"&amp;INDEX(Beheer!$B$7:$B$36,COLUMNS($D59:G59)))</f>
        <v/>
      </c>
      <c r="H59" s="97" t="str" cm="1">
        <f t="array" ref="H59">IF(OR($A59="",COLUMNS($D59:H59)&gt;Beheer!$C$4),"",N(INDEX(Dashboard!$C$2:$AF$61,MATCH(LARGE(Dashboard!$AI$2:$AI$61,$A59),Dashboard!$AI$2:$AI$61,0),COLUMNS($D59:H59)))&amp;"/"&amp;INDEX(Beheer!$B$7:$B$36,COLUMNS($D59:H59)))</f>
        <v/>
      </c>
      <c r="I59" s="97" t="str" cm="1">
        <f t="array" ref="I59">IF(OR($A59="",COLUMNS($D59:I59)&gt;Beheer!$C$4),"",N(INDEX(Dashboard!$C$2:$AF$61,MATCH(LARGE(Dashboard!$AI$2:$AI$61,$A59),Dashboard!$AI$2:$AI$61,0),COLUMNS($D59:I59)))&amp;"/"&amp;INDEX(Beheer!$B$7:$B$36,COLUMNS($D59:I59)))</f>
        <v/>
      </c>
      <c r="J59" s="97" t="str" cm="1">
        <f t="array" ref="J59">IF(OR($A59="",COLUMNS($D59:J59)&gt;Beheer!$C$4),"",N(INDEX(Dashboard!$C$2:$AF$61,MATCH(LARGE(Dashboard!$AI$2:$AI$61,$A59),Dashboard!$AI$2:$AI$61,0),COLUMNS($D59:J59)))&amp;"/"&amp;INDEX(Beheer!$B$7:$B$36,COLUMNS($D59:J59)))</f>
        <v/>
      </c>
      <c r="K59" s="97" t="str" cm="1">
        <f t="array" ref="K59">IF(OR($A59="",COLUMNS($D59:K59)&gt;Beheer!$C$4),"",N(INDEX(Dashboard!$C$2:$AF$61,MATCH(LARGE(Dashboard!$AI$2:$AI$61,$A59),Dashboard!$AI$2:$AI$61,0),COLUMNS($D59:K59)))&amp;"/"&amp;INDEX(Beheer!$B$7:$B$36,COLUMNS($D59:K59)))</f>
        <v/>
      </c>
      <c r="L59" s="97" t="str" cm="1">
        <f t="array" ref="L59">IF(OR($A59="",COLUMNS($D59:L59)&gt;Beheer!$C$4),"",N(INDEX(Dashboard!$C$2:$AF$61,MATCH(LARGE(Dashboard!$AI$2:$AI$61,$A59),Dashboard!$AI$2:$AI$61,0),COLUMNS($D59:L59)))&amp;"/"&amp;INDEX(Beheer!$B$7:$B$36,COLUMNS($D59:L59)))</f>
        <v/>
      </c>
      <c r="M59" s="97" t="str" cm="1">
        <f t="array" ref="M59">IF(OR($A59="",COLUMNS($D59:M59)&gt;Beheer!$C$4),"",N(INDEX(Dashboard!$C$2:$AF$61,MATCH(LARGE(Dashboard!$AI$2:$AI$61,$A59),Dashboard!$AI$2:$AI$61,0),COLUMNS($D59:M59)))&amp;"/"&amp;INDEX(Beheer!$B$7:$B$36,COLUMNS($D59:M59)))</f>
        <v/>
      </c>
      <c r="N59" s="97" t="str" cm="1">
        <f t="array" ref="N59">IF(OR($A59="",COLUMNS($D59:N59)&gt;Beheer!$C$4),"",N(INDEX(Dashboard!$C$2:$AF$61,MATCH(LARGE(Dashboard!$AI$2:$AI$61,$A59),Dashboard!$AI$2:$AI$61,0),COLUMNS($D59:N59)))&amp;"/"&amp;INDEX(Beheer!$B$7:$B$36,COLUMNS($D59:N59)))</f>
        <v/>
      </c>
      <c r="O59" s="97" t="str" cm="1">
        <f t="array" ref="O59">IF(OR($A59="",COLUMNS($D59:O59)&gt;Beheer!$C$4),"",N(INDEX(Dashboard!$C$2:$AF$61,MATCH(LARGE(Dashboard!$AI$2:$AI$61,$A59),Dashboard!$AI$2:$AI$61,0),COLUMNS($D59:O59)))&amp;"/"&amp;INDEX(Beheer!$B$7:$B$36,COLUMNS($D59:O59)))</f>
        <v/>
      </c>
      <c r="P59" s="97" t="str" cm="1">
        <f t="array" ref="P59">IF(OR($A59="",COLUMNS($D59:P59)&gt;Beheer!$C$4),"",N(INDEX(Dashboard!$C$2:$AF$61,MATCH(LARGE(Dashboard!$AI$2:$AI$61,$A59),Dashboard!$AI$2:$AI$61,0),COLUMNS($D59:P59)))&amp;"/"&amp;INDEX(Beheer!$B$7:$B$36,COLUMNS($D59:P59)))</f>
        <v/>
      </c>
      <c r="Q59" s="97" t="str" cm="1">
        <f t="array" ref="Q59">IF(OR($A59="",COLUMNS($D59:Q59)&gt;Beheer!$C$4),"",N(INDEX(Dashboard!$C$2:$AF$61,MATCH(LARGE(Dashboard!$AI$2:$AI$61,$A59),Dashboard!$AI$2:$AI$61,0),COLUMNS($D59:Q59)))&amp;"/"&amp;INDEX(Beheer!$B$7:$B$36,COLUMNS($D59:Q59)))</f>
        <v/>
      </c>
      <c r="R59" s="97" t="str" cm="1">
        <f t="array" ref="R59">IF(OR($A59="",COLUMNS($D59:R59)&gt;Beheer!$C$4),"",N(INDEX(Dashboard!$C$2:$AF$61,MATCH(LARGE(Dashboard!$AI$2:$AI$61,$A59),Dashboard!$AI$2:$AI$61,0),COLUMNS($D59:R59)))&amp;"/"&amp;INDEX(Beheer!$B$7:$B$36,COLUMNS($D59:R59)))</f>
        <v/>
      </c>
      <c r="S59" s="97" t="str" cm="1">
        <f t="array" ref="S59">IF(OR($A59="",COLUMNS($D59:S59)&gt;Beheer!$C$4),"",N(INDEX(Dashboard!$C$2:$AF$61,MATCH(LARGE(Dashboard!$AI$2:$AI$61,$A59),Dashboard!$AI$2:$AI$61,0),COLUMNS($D59:S59)))&amp;"/"&amp;INDEX(Beheer!$B$7:$B$36,COLUMNS($D59:S59)))</f>
        <v/>
      </c>
      <c r="T59" s="97" t="str" cm="1">
        <f t="array" ref="T59">IF(OR($A59="",COLUMNS($D59:T59)&gt;Beheer!$C$4),"",N(INDEX(Dashboard!$C$2:$AF$61,MATCH(LARGE(Dashboard!$AI$2:$AI$61,$A59),Dashboard!$AI$2:$AI$61,0),COLUMNS($D59:T59)))&amp;"/"&amp;INDEX(Beheer!$B$7:$B$36,COLUMNS($D59:T59)))</f>
        <v/>
      </c>
      <c r="U59" s="97" t="str" cm="1">
        <f t="array" ref="U59">IF(OR($A59="",COLUMNS($D59:U59)&gt;Beheer!$C$4),"",N(INDEX(Dashboard!$C$2:$AF$61,MATCH(LARGE(Dashboard!$AI$2:$AI$61,$A59),Dashboard!$AI$2:$AI$61,0),COLUMNS($D59:U59)))&amp;"/"&amp;INDEX(Beheer!$B$7:$B$36,COLUMNS($D59:U59)))</f>
        <v/>
      </c>
      <c r="V59" s="97" t="str" cm="1">
        <f t="array" ref="V59">IF(OR($A59="",COLUMNS($D59:V59)&gt;Beheer!$C$4),"",N(INDEX(Dashboard!$C$2:$AF$61,MATCH(LARGE(Dashboard!$AI$2:$AI$61,$A59),Dashboard!$AI$2:$AI$61,0),COLUMNS($D59:V59)))&amp;"/"&amp;INDEX(Beheer!$B$7:$B$36,COLUMNS($D59:V59)))</f>
        <v/>
      </c>
      <c r="W59" s="97" t="str" cm="1">
        <f t="array" ref="W59">IF(OR($A59="",COLUMNS($D59:W59)&gt;Beheer!$C$4),"",N(INDEX(Dashboard!$C$2:$AF$61,MATCH(LARGE(Dashboard!$AI$2:$AI$61,$A59),Dashboard!$AI$2:$AI$61,0),COLUMNS($D59:W59)))&amp;"/"&amp;INDEX(Beheer!$B$7:$B$36,COLUMNS($D59:W59)))</f>
        <v/>
      </c>
      <c r="X59" s="97" t="str" cm="1">
        <f t="array" ref="X59">IF(OR($A59="",COLUMNS($D59:X59)&gt;Beheer!$C$4),"",N(INDEX(Dashboard!$C$2:$AF$61,MATCH(LARGE(Dashboard!$AI$2:$AI$61,$A59),Dashboard!$AI$2:$AI$61,0),COLUMNS($D59:X59)))&amp;"/"&amp;INDEX(Beheer!$B$7:$B$36,COLUMNS($D59:X59)))</f>
        <v/>
      </c>
      <c r="Y59" s="97" t="str" cm="1">
        <f t="array" ref="Y59">IF(OR($A59="",COLUMNS($D59:Y59)&gt;Beheer!$C$4),"",N(INDEX(Dashboard!$C$2:$AF$61,MATCH(LARGE(Dashboard!$AI$2:$AI$61,$A59),Dashboard!$AI$2:$AI$61,0),COLUMNS($D59:Y59)))&amp;"/"&amp;INDEX(Beheer!$B$7:$B$36,COLUMNS($D59:Y59)))</f>
        <v/>
      </c>
      <c r="Z59" s="97" t="str" cm="1">
        <f t="array" ref="Z59">IF(OR($A59="",COLUMNS($D59:Z59)&gt;Beheer!$C$4),"",N(INDEX(Dashboard!$C$2:$AF$61,MATCH(LARGE(Dashboard!$AI$2:$AI$61,$A59),Dashboard!$AI$2:$AI$61,0),COLUMNS($D59:Z59)))&amp;"/"&amp;INDEX(Beheer!$B$7:$B$36,COLUMNS($D59:Z59)))</f>
        <v/>
      </c>
      <c r="AA59" s="97" t="str" cm="1">
        <f t="array" ref="AA59">IF(OR($A59="",COLUMNS($D59:AA59)&gt;Beheer!$C$4),"",N(INDEX(Dashboard!$C$2:$AF$61,MATCH(LARGE(Dashboard!$AI$2:$AI$61,$A59),Dashboard!$AI$2:$AI$61,0),COLUMNS($D59:AA59)))&amp;"/"&amp;INDEX(Beheer!$B$7:$B$36,COLUMNS($D59:AA59)))</f>
        <v/>
      </c>
      <c r="AB59" s="97" t="str" cm="1">
        <f t="array" ref="AB59">IF(OR($A59="",COLUMNS($D59:AB59)&gt;Beheer!$C$4),"",N(INDEX(Dashboard!$C$2:$AF$61,MATCH(LARGE(Dashboard!$AI$2:$AI$61,$A59),Dashboard!$AI$2:$AI$61,0),COLUMNS($D59:AB59)))&amp;"/"&amp;INDEX(Beheer!$B$7:$B$36,COLUMNS($D59:AB59)))</f>
        <v/>
      </c>
      <c r="AC59" s="97" t="str" cm="1">
        <f t="array" ref="AC59">IF(OR($A59="",COLUMNS($D59:AC59)&gt;Beheer!$C$4),"",N(INDEX(Dashboard!$C$2:$AF$61,MATCH(LARGE(Dashboard!$AI$2:$AI$61,$A59),Dashboard!$AI$2:$AI$61,0),COLUMNS($D59:AC59)))&amp;"/"&amp;INDEX(Beheer!$B$7:$B$36,COLUMNS($D59:AC59)))</f>
        <v/>
      </c>
      <c r="AD59" s="97" t="str" cm="1">
        <f t="array" ref="AD59">IF(OR($A59="",COLUMNS($D59:AD59)&gt;Beheer!$C$4),"",N(INDEX(Dashboard!$C$2:$AF$61,MATCH(LARGE(Dashboard!$AI$2:$AI$61,$A59),Dashboard!$AI$2:$AI$61,0),COLUMNS($D59:AD59)))&amp;"/"&amp;INDEX(Beheer!$B$7:$B$36,COLUMNS($D59:AD59)))</f>
        <v/>
      </c>
      <c r="AE59" s="97" t="str" cm="1">
        <f t="array" ref="AE59">IF(OR($A59="",COLUMNS($D59:AE59)&gt;Beheer!$C$4),"",N(INDEX(Dashboard!$C$2:$AF$61,MATCH(LARGE(Dashboard!$AI$2:$AI$61,$A59),Dashboard!$AI$2:$AI$61,0),COLUMNS($D59:AE59)))&amp;"/"&amp;INDEX(Beheer!$B$7:$B$36,COLUMNS($D59:AE59)))</f>
        <v/>
      </c>
      <c r="AF59" s="97" t="str" cm="1">
        <f t="array" ref="AF59">IF(OR($A59="",COLUMNS($D59:AF59)&gt;Beheer!$C$4),"",N(INDEX(Dashboard!$C$2:$AF$61,MATCH(LARGE(Dashboard!$AI$2:$AI$61,$A59),Dashboard!$AI$2:$AI$61,0),COLUMNS($D59:AF59)))&amp;"/"&amp;INDEX(Beheer!$B$7:$B$36,COLUMNS($D59:AF59)))</f>
        <v/>
      </c>
      <c r="AG59" s="97" t="str" cm="1">
        <f t="array" ref="AG59">IF(OR($A59="",COLUMNS($D59:AG59)&gt;Beheer!$C$4),"",N(INDEX(Dashboard!$C$2:$AF$61,MATCH(LARGE(Dashboard!$AI$2:$AI$61,$A59),Dashboard!$AI$2:$AI$61,0),COLUMNS($D59:AG59)))&amp;"/"&amp;INDEX(Beheer!$B$7:$B$36,COLUMNS($D59:AG59)))</f>
        <v/>
      </c>
    </row>
    <row r="60" spans="1:33" ht="24" customHeight="1" thickBot="1" x14ac:dyDescent="0.5">
      <c r="A60" s="99" t="str">
        <f>IF(ROWS($A$2:A60)&gt;COUNTA(Beheer!$F$7:$F$66),"",ROWS($A$2:A60))</f>
        <v/>
      </c>
      <c r="B60" s="102" t="str">
        <f>IF($A60="","",INDEX(Dashboard!$A$2:$A$61,MATCH(LARGE(Dashboard!$AI$2:$AI$61,$A60),Dashboard!$AI$2:$AI$61,0)))</f>
        <v/>
      </c>
      <c r="C60" s="94" t="str">
        <f>IF($A60="","",INDEX(Dashboard!$AG$2:$AG$61,MATCH(LARGE(Dashboard!$AI$2:$AI$61,$A60),Dashboard!$AI$2:$AI$61,0))&amp;" / "&amp;INDEX(Dashboard!$AH$2:$AH$61,MATCH(LARGE(Dashboard!$AI$2:$AI$61,$A60),Dashboard!$AI$2:$AI$61,0)))</f>
        <v/>
      </c>
      <c r="D60" s="95" t="str" cm="1">
        <f t="array" ref="D60">IF(OR($A60="",COLUMNS($D60:D60)&gt;Beheer!$C$4),"",N(INDEX(Dashboard!$C$2:$AF$61,MATCH(LARGE(Dashboard!$AI$2:$AI$61,$A60),Dashboard!$AI$2:$AI$61,0),COLUMNS($D60:D60)))&amp;"/"&amp;INDEX(Beheer!$B$7:$B$36,COLUMNS($D60:D60)))</f>
        <v/>
      </c>
      <c r="E60" s="95" t="str" cm="1">
        <f t="array" ref="E60">IF(OR($A60="",COLUMNS($D60:E60)&gt;Beheer!$C$4),"",N(INDEX(Dashboard!$C$2:$AF$61,MATCH(LARGE(Dashboard!$AI$2:$AI$61,$A60),Dashboard!$AI$2:$AI$61,0),COLUMNS($D60:E60)))&amp;"/"&amp;INDEX(Beheer!$B$7:$B$36,COLUMNS($D60:E60)))</f>
        <v/>
      </c>
      <c r="F60" s="95" t="str" cm="1">
        <f t="array" ref="F60">IF(OR($A60="",COLUMNS($D60:F60)&gt;Beheer!$C$4),"",N(INDEX(Dashboard!$C$2:$AF$61,MATCH(LARGE(Dashboard!$AI$2:$AI$61,$A60),Dashboard!$AI$2:$AI$61,0),COLUMNS($D60:F60)))&amp;"/"&amp;INDEX(Beheer!$B$7:$B$36,COLUMNS($D60:F60)))</f>
        <v/>
      </c>
      <c r="G60" s="95" t="str" cm="1">
        <f t="array" ref="G60">IF(OR($A60="",COLUMNS($D60:G60)&gt;Beheer!$C$4),"",N(INDEX(Dashboard!$C$2:$AF$61,MATCH(LARGE(Dashboard!$AI$2:$AI$61,$A60),Dashboard!$AI$2:$AI$61,0),COLUMNS($D60:G60)))&amp;"/"&amp;INDEX(Beheer!$B$7:$B$36,COLUMNS($D60:G60)))</f>
        <v/>
      </c>
      <c r="H60" s="95" t="str" cm="1">
        <f t="array" ref="H60">IF(OR($A60="",COLUMNS($D60:H60)&gt;Beheer!$C$4),"",N(INDEX(Dashboard!$C$2:$AF$61,MATCH(LARGE(Dashboard!$AI$2:$AI$61,$A60),Dashboard!$AI$2:$AI$61,0),COLUMNS($D60:H60)))&amp;"/"&amp;INDEX(Beheer!$B$7:$B$36,COLUMNS($D60:H60)))</f>
        <v/>
      </c>
      <c r="I60" s="95" t="str" cm="1">
        <f t="array" ref="I60">IF(OR($A60="",COLUMNS($D60:I60)&gt;Beheer!$C$4),"",N(INDEX(Dashboard!$C$2:$AF$61,MATCH(LARGE(Dashboard!$AI$2:$AI$61,$A60),Dashboard!$AI$2:$AI$61,0),COLUMNS($D60:I60)))&amp;"/"&amp;INDEX(Beheer!$B$7:$B$36,COLUMNS($D60:I60)))</f>
        <v/>
      </c>
      <c r="J60" s="95" t="str" cm="1">
        <f t="array" ref="J60">IF(OR($A60="",COLUMNS($D60:J60)&gt;Beheer!$C$4),"",N(INDEX(Dashboard!$C$2:$AF$61,MATCH(LARGE(Dashboard!$AI$2:$AI$61,$A60),Dashboard!$AI$2:$AI$61,0),COLUMNS($D60:J60)))&amp;"/"&amp;INDEX(Beheer!$B$7:$B$36,COLUMNS($D60:J60)))</f>
        <v/>
      </c>
      <c r="K60" s="95" t="str" cm="1">
        <f t="array" ref="K60">IF(OR($A60="",COLUMNS($D60:K60)&gt;Beheer!$C$4),"",N(INDEX(Dashboard!$C$2:$AF$61,MATCH(LARGE(Dashboard!$AI$2:$AI$61,$A60),Dashboard!$AI$2:$AI$61,0),COLUMNS($D60:K60)))&amp;"/"&amp;INDEX(Beheer!$B$7:$B$36,COLUMNS($D60:K60)))</f>
        <v/>
      </c>
      <c r="L60" s="95" t="str" cm="1">
        <f t="array" ref="L60">IF(OR($A60="",COLUMNS($D60:L60)&gt;Beheer!$C$4),"",N(INDEX(Dashboard!$C$2:$AF$61,MATCH(LARGE(Dashboard!$AI$2:$AI$61,$A60),Dashboard!$AI$2:$AI$61,0),COLUMNS($D60:L60)))&amp;"/"&amp;INDEX(Beheer!$B$7:$B$36,COLUMNS($D60:L60)))</f>
        <v/>
      </c>
      <c r="M60" s="95" t="str" cm="1">
        <f t="array" ref="M60">IF(OR($A60="",COLUMNS($D60:M60)&gt;Beheer!$C$4),"",N(INDEX(Dashboard!$C$2:$AF$61,MATCH(LARGE(Dashboard!$AI$2:$AI$61,$A60),Dashboard!$AI$2:$AI$61,0),COLUMNS($D60:M60)))&amp;"/"&amp;INDEX(Beheer!$B$7:$B$36,COLUMNS($D60:M60)))</f>
        <v/>
      </c>
      <c r="N60" s="95" t="str" cm="1">
        <f t="array" ref="N60">IF(OR($A60="",COLUMNS($D60:N60)&gt;Beheer!$C$4),"",N(INDEX(Dashboard!$C$2:$AF$61,MATCH(LARGE(Dashboard!$AI$2:$AI$61,$A60),Dashboard!$AI$2:$AI$61,0),COLUMNS($D60:N60)))&amp;"/"&amp;INDEX(Beheer!$B$7:$B$36,COLUMNS($D60:N60)))</f>
        <v/>
      </c>
      <c r="O60" s="95" t="str" cm="1">
        <f t="array" ref="O60">IF(OR($A60="",COLUMNS($D60:O60)&gt;Beheer!$C$4),"",N(INDEX(Dashboard!$C$2:$AF$61,MATCH(LARGE(Dashboard!$AI$2:$AI$61,$A60),Dashboard!$AI$2:$AI$61,0),COLUMNS($D60:O60)))&amp;"/"&amp;INDEX(Beheer!$B$7:$B$36,COLUMNS($D60:O60)))</f>
        <v/>
      </c>
      <c r="P60" s="95" t="str" cm="1">
        <f t="array" ref="P60">IF(OR($A60="",COLUMNS($D60:P60)&gt;Beheer!$C$4),"",N(INDEX(Dashboard!$C$2:$AF$61,MATCH(LARGE(Dashboard!$AI$2:$AI$61,$A60),Dashboard!$AI$2:$AI$61,0),COLUMNS($D60:P60)))&amp;"/"&amp;INDEX(Beheer!$B$7:$B$36,COLUMNS($D60:P60)))</f>
        <v/>
      </c>
      <c r="Q60" s="95" t="str" cm="1">
        <f t="array" ref="Q60">IF(OR($A60="",COLUMNS($D60:Q60)&gt;Beheer!$C$4),"",N(INDEX(Dashboard!$C$2:$AF$61,MATCH(LARGE(Dashboard!$AI$2:$AI$61,$A60),Dashboard!$AI$2:$AI$61,0),COLUMNS($D60:Q60)))&amp;"/"&amp;INDEX(Beheer!$B$7:$B$36,COLUMNS($D60:Q60)))</f>
        <v/>
      </c>
      <c r="R60" s="95" t="str" cm="1">
        <f t="array" ref="R60">IF(OR($A60="",COLUMNS($D60:R60)&gt;Beheer!$C$4),"",N(INDEX(Dashboard!$C$2:$AF$61,MATCH(LARGE(Dashboard!$AI$2:$AI$61,$A60),Dashboard!$AI$2:$AI$61,0),COLUMNS($D60:R60)))&amp;"/"&amp;INDEX(Beheer!$B$7:$B$36,COLUMNS($D60:R60)))</f>
        <v/>
      </c>
      <c r="S60" s="95" t="str" cm="1">
        <f t="array" ref="S60">IF(OR($A60="",COLUMNS($D60:S60)&gt;Beheer!$C$4),"",N(INDEX(Dashboard!$C$2:$AF$61,MATCH(LARGE(Dashboard!$AI$2:$AI$61,$A60),Dashboard!$AI$2:$AI$61,0),COLUMNS($D60:S60)))&amp;"/"&amp;INDEX(Beheer!$B$7:$B$36,COLUMNS($D60:S60)))</f>
        <v/>
      </c>
      <c r="T60" s="95" t="str" cm="1">
        <f t="array" ref="T60">IF(OR($A60="",COLUMNS($D60:T60)&gt;Beheer!$C$4),"",N(INDEX(Dashboard!$C$2:$AF$61,MATCH(LARGE(Dashboard!$AI$2:$AI$61,$A60),Dashboard!$AI$2:$AI$61,0),COLUMNS($D60:T60)))&amp;"/"&amp;INDEX(Beheer!$B$7:$B$36,COLUMNS($D60:T60)))</f>
        <v/>
      </c>
      <c r="U60" s="95" t="str" cm="1">
        <f t="array" ref="U60">IF(OR($A60="",COLUMNS($D60:U60)&gt;Beheer!$C$4),"",N(INDEX(Dashboard!$C$2:$AF$61,MATCH(LARGE(Dashboard!$AI$2:$AI$61,$A60),Dashboard!$AI$2:$AI$61,0),COLUMNS($D60:U60)))&amp;"/"&amp;INDEX(Beheer!$B$7:$B$36,COLUMNS($D60:U60)))</f>
        <v/>
      </c>
      <c r="V60" s="95" t="str" cm="1">
        <f t="array" ref="V60">IF(OR($A60="",COLUMNS($D60:V60)&gt;Beheer!$C$4),"",N(INDEX(Dashboard!$C$2:$AF$61,MATCH(LARGE(Dashboard!$AI$2:$AI$61,$A60),Dashboard!$AI$2:$AI$61,0),COLUMNS($D60:V60)))&amp;"/"&amp;INDEX(Beheer!$B$7:$B$36,COLUMNS($D60:V60)))</f>
        <v/>
      </c>
      <c r="W60" s="95" t="str" cm="1">
        <f t="array" ref="W60">IF(OR($A60="",COLUMNS($D60:W60)&gt;Beheer!$C$4),"",N(INDEX(Dashboard!$C$2:$AF$61,MATCH(LARGE(Dashboard!$AI$2:$AI$61,$A60),Dashboard!$AI$2:$AI$61,0),COLUMNS($D60:W60)))&amp;"/"&amp;INDEX(Beheer!$B$7:$B$36,COLUMNS($D60:W60)))</f>
        <v/>
      </c>
      <c r="X60" s="95" t="str" cm="1">
        <f t="array" ref="X60">IF(OR($A60="",COLUMNS($D60:X60)&gt;Beheer!$C$4),"",N(INDEX(Dashboard!$C$2:$AF$61,MATCH(LARGE(Dashboard!$AI$2:$AI$61,$A60),Dashboard!$AI$2:$AI$61,0),COLUMNS($D60:X60)))&amp;"/"&amp;INDEX(Beheer!$B$7:$B$36,COLUMNS($D60:X60)))</f>
        <v/>
      </c>
      <c r="Y60" s="95" t="str" cm="1">
        <f t="array" ref="Y60">IF(OR($A60="",COLUMNS($D60:Y60)&gt;Beheer!$C$4),"",N(INDEX(Dashboard!$C$2:$AF$61,MATCH(LARGE(Dashboard!$AI$2:$AI$61,$A60),Dashboard!$AI$2:$AI$61,0),COLUMNS($D60:Y60)))&amp;"/"&amp;INDEX(Beheer!$B$7:$B$36,COLUMNS($D60:Y60)))</f>
        <v/>
      </c>
      <c r="Z60" s="95" t="str" cm="1">
        <f t="array" ref="Z60">IF(OR($A60="",COLUMNS($D60:Z60)&gt;Beheer!$C$4),"",N(INDEX(Dashboard!$C$2:$AF$61,MATCH(LARGE(Dashboard!$AI$2:$AI$61,$A60),Dashboard!$AI$2:$AI$61,0),COLUMNS($D60:Z60)))&amp;"/"&amp;INDEX(Beheer!$B$7:$B$36,COLUMNS($D60:Z60)))</f>
        <v/>
      </c>
      <c r="AA60" s="95" t="str" cm="1">
        <f t="array" ref="AA60">IF(OR($A60="",COLUMNS($D60:AA60)&gt;Beheer!$C$4),"",N(INDEX(Dashboard!$C$2:$AF$61,MATCH(LARGE(Dashboard!$AI$2:$AI$61,$A60),Dashboard!$AI$2:$AI$61,0),COLUMNS($D60:AA60)))&amp;"/"&amp;INDEX(Beheer!$B$7:$B$36,COLUMNS($D60:AA60)))</f>
        <v/>
      </c>
      <c r="AB60" s="95" t="str" cm="1">
        <f t="array" ref="AB60">IF(OR($A60="",COLUMNS($D60:AB60)&gt;Beheer!$C$4),"",N(INDEX(Dashboard!$C$2:$AF$61,MATCH(LARGE(Dashboard!$AI$2:$AI$61,$A60),Dashboard!$AI$2:$AI$61,0),COLUMNS($D60:AB60)))&amp;"/"&amp;INDEX(Beheer!$B$7:$B$36,COLUMNS($D60:AB60)))</f>
        <v/>
      </c>
      <c r="AC60" s="95" t="str" cm="1">
        <f t="array" ref="AC60">IF(OR($A60="",COLUMNS($D60:AC60)&gt;Beheer!$C$4),"",N(INDEX(Dashboard!$C$2:$AF$61,MATCH(LARGE(Dashboard!$AI$2:$AI$61,$A60),Dashboard!$AI$2:$AI$61,0),COLUMNS($D60:AC60)))&amp;"/"&amp;INDEX(Beheer!$B$7:$B$36,COLUMNS($D60:AC60)))</f>
        <v/>
      </c>
      <c r="AD60" s="95" t="str" cm="1">
        <f t="array" ref="AD60">IF(OR($A60="",COLUMNS($D60:AD60)&gt;Beheer!$C$4),"",N(INDEX(Dashboard!$C$2:$AF$61,MATCH(LARGE(Dashboard!$AI$2:$AI$61,$A60),Dashboard!$AI$2:$AI$61,0),COLUMNS($D60:AD60)))&amp;"/"&amp;INDEX(Beheer!$B$7:$B$36,COLUMNS($D60:AD60)))</f>
        <v/>
      </c>
      <c r="AE60" s="95" t="str" cm="1">
        <f t="array" ref="AE60">IF(OR($A60="",COLUMNS($D60:AE60)&gt;Beheer!$C$4),"",N(INDEX(Dashboard!$C$2:$AF$61,MATCH(LARGE(Dashboard!$AI$2:$AI$61,$A60),Dashboard!$AI$2:$AI$61,0),COLUMNS($D60:AE60)))&amp;"/"&amp;INDEX(Beheer!$B$7:$B$36,COLUMNS($D60:AE60)))</f>
        <v/>
      </c>
      <c r="AF60" s="95" t="str" cm="1">
        <f t="array" ref="AF60">IF(OR($A60="",COLUMNS($D60:AF60)&gt;Beheer!$C$4),"",N(INDEX(Dashboard!$C$2:$AF$61,MATCH(LARGE(Dashboard!$AI$2:$AI$61,$A60),Dashboard!$AI$2:$AI$61,0),COLUMNS($D60:AF60)))&amp;"/"&amp;INDEX(Beheer!$B$7:$B$36,COLUMNS($D60:AF60)))</f>
        <v/>
      </c>
      <c r="AG60" s="95" t="str" cm="1">
        <f t="array" ref="AG60">IF(OR($A60="",COLUMNS($D60:AG60)&gt;Beheer!$C$4),"",N(INDEX(Dashboard!$C$2:$AF$61,MATCH(LARGE(Dashboard!$AI$2:$AI$61,$A60),Dashboard!$AI$2:$AI$61,0),COLUMNS($D60:AG60)))&amp;"/"&amp;INDEX(Beheer!$B$7:$B$36,COLUMNS($D60:AG60)))</f>
        <v/>
      </c>
    </row>
    <row r="61" spans="1:33" ht="24" customHeight="1" x14ac:dyDescent="0.45">
      <c r="A61" s="98" t="str">
        <f>IF(ROWS($A$2:A61)&gt;COUNTA(Beheer!$F$7:$F$66),"",ROWS($A$2:A61))</f>
        <v/>
      </c>
      <c r="B61" s="101" t="str">
        <f>IF($A61="","",INDEX(Dashboard!$A$2:$A$61,MATCH(LARGE(Dashboard!$AI$2:$AI$61,$A61),Dashboard!$AI$2:$AI$61,0)))</f>
        <v/>
      </c>
      <c r="C61" s="96" t="str">
        <f>IF($A61="","",INDEX(Dashboard!$AG$2:$AG$61,MATCH(LARGE(Dashboard!$AI$2:$AI$61,$A61),Dashboard!$AI$2:$AI$61,0))&amp;" / "&amp;INDEX(Dashboard!$AH$2:$AH$61,MATCH(LARGE(Dashboard!$AI$2:$AI$61,$A61),Dashboard!$AI$2:$AI$61,0)))</f>
        <v/>
      </c>
      <c r="D61" s="97" t="str" cm="1">
        <f t="array" ref="D61">IF(OR($A61="",COLUMNS($D61:D61)&gt;Beheer!$C$4),"",N(INDEX(Dashboard!$C$2:$AF$61,MATCH(LARGE(Dashboard!$AI$2:$AI$61,$A61),Dashboard!$AI$2:$AI$61,0),COLUMNS($D61:D61)))&amp;"/"&amp;INDEX(Beheer!$B$7:$B$36,COLUMNS($D61:D61)))</f>
        <v/>
      </c>
      <c r="E61" s="97" t="str" cm="1">
        <f t="array" ref="E61">IF(OR($A61="",COLUMNS($D61:E61)&gt;Beheer!$C$4),"",N(INDEX(Dashboard!$C$2:$AF$61,MATCH(LARGE(Dashboard!$AI$2:$AI$61,$A61),Dashboard!$AI$2:$AI$61,0),COLUMNS($D61:E61)))&amp;"/"&amp;INDEX(Beheer!$B$7:$B$36,COLUMNS($D61:E61)))</f>
        <v/>
      </c>
      <c r="F61" s="97" t="str" cm="1">
        <f t="array" ref="F61">IF(OR($A61="",COLUMNS($D61:F61)&gt;Beheer!$C$4),"",N(INDEX(Dashboard!$C$2:$AF$61,MATCH(LARGE(Dashboard!$AI$2:$AI$61,$A61),Dashboard!$AI$2:$AI$61,0),COLUMNS($D61:F61)))&amp;"/"&amp;INDEX(Beheer!$B$7:$B$36,COLUMNS($D61:F61)))</f>
        <v/>
      </c>
      <c r="G61" s="97" t="str" cm="1">
        <f t="array" ref="G61">IF(OR($A61="",COLUMNS($D61:G61)&gt;Beheer!$C$4),"",N(INDEX(Dashboard!$C$2:$AF$61,MATCH(LARGE(Dashboard!$AI$2:$AI$61,$A61),Dashboard!$AI$2:$AI$61,0),COLUMNS($D61:G61)))&amp;"/"&amp;INDEX(Beheer!$B$7:$B$36,COLUMNS($D61:G61)))</f>
        <v/>
      </c>
      <c r="H61" s="97" t="str" cm="1">
        <f t="array" ref="H61">IF(OR($A61="",COLUMNS($D61:H61)&gt;Beheer!$C$4),"",N(INDEX(Dashboard!$C$2:$AF$61,MATCH(LARGE(Dashboard!$AI$2:$AI$61,$A61),Dashboard!$AI$2:$AI$61,0),COLUMNS($D61:H61)))&amp;"/"&amp;INDEX(Beheer!$B$7:$B$36,COLUMNS($D61:H61)))</f>
        <v/>
      </c>
      <c r="I61" s="97" t="str" cm="1">
        <f t="array" ref="I61">IF(OR($A61="",COLUMNS($D61:I61)&gt;Beheer!$C$4),"",N(INDEX(Dashboard!$C$2:$AF$61,MATCH(LARGE(Dashboard!$AI$2:$AI$61,$A61),Dashboard!$AI$2:$AI$61,0),COLUMNS($D61:I61)))&amp;"/"&amp;INDEX(Beheer!$B$7:$B$36,COLUMNS($D61:I61)))</f>
        <v/>
      </c>
      <c r="J61" s="97" t="str" cm="1">
        <f t="array" ref="J61">IF(OR($A61="",COLUMNS($D61:J61)&gt;Beheer!$C$4),"",N(INDEX(Dashboard!$C$2:$AF$61,MATCH(LARGE(Dashboard!$AI$2:$AI$61,$A61),Dashboard!$AI$2:$AI$61,0),COLUMNS($D61:J61)))&amp;"/"&amp;INDEX(Beheer!$B$7:$B$36,COLUMNS($D61:J61)))</f>
        <v/>
      </c>
      <c r="K61" s="97" t="str" cm="1">
        <f t="array" ref="K61">IF(OR($A61="",COLUMNS($D61:K61)&gt;Beheer!$C$4),"",N(INDEX(Dashboard!$C$2:$AF$61,MATCH(LARGE(Dashboard!$AI$2:$AI$61,$A61),Dashboard!$AI$2:$AI$61,0),COLUMNS($D61:K61)))&amp;"/"&amp;INDEX(Beheer!$B$7:$B$36,COLUMNS($D61:K61)))</f>
        <v/>
      </c>
      <c r="L61" s="97" t="str" cm="1">
        <f t="array" ref="L61">IF(OR($A61="",COLUMNS($D61:L61)&gt;Beheer!$C$4),"",N(INDEX(Dashboard!$C$2:$AF$61,MATCH(LARGE(Dashboard!$AI$2:$AI$61,$A61),Dashboard!$AI$2:$AI$61,0),COLUMNS($D61:L61)))&amp;"/"&amp;INDEX(Beheer!$B$7:$B$36,COLUMNS($D61:L61)))</f>
        <v/>
      </c>
      <c r="M61" s="97" t="str" cm="1">
        <f t="array" ref="M61">IF(OR($A61="",COLUMNS($D61:M61)&gt;Beheer!$C$4),"",N(INDEX(Dashboard!$C$2:$AF$61,MATCH(LARGE(Dashboard!$AI$2:$AI$61,$A61),Dashboard!$AI$2:$AI$61,0),COLUMNS($D61:M61)))&amp;"/"&amp;INDEX(Beheer!$B$7:$B$36,COLUMNS($D61:M61)))</f>
        <v/>
      </c>
      <c r="N61" s="97" t="str" cm="1">
        <f t="array" ref="N61">IF(OR($A61="",COLUMNS($D61:N61)&gt;Beheer!$C$4),"",N(INDEX(Dashboard!$C$2:$AF$61,MATCH(LARGE(Dashboard!$AI$2:$AI$61,$A61),Dashboard!$AI$2:$AI$61,0),COLUMNS($D61:N61)))&amp;"/"&amp;INDEX(Beheer!$B$7:$B$36,COLUMNS($D61:N61)))</f>
        <v/>
      </c>
      <c r="O61" s="97" t="str" cm="1">
        <f t="array" ref="O61">IF(OR($A61="",COLUMNS($D61:O61)&gt;Beheer!$C$4),"",N(INDEX(Dashboard!$C$2:$AF$61,MATCH(LARGE(Dashboard!$AI$2:$AI$61,$A61),Dashboard!$AI$2:$AI$61,0),COLUMNS($D61:O61)))&amp;"/"&amp;INDEX(Beheer!$B$7:$B$36,COLUMNS($D61:O61)))</f>
        <v/>
      </c>
      <c r="P61" s="97" t="str" cm="1">
        <f t="array" ref="P61">IF(OR($A61="",COLUMNS($D61:P61)&gt;Beheer!$C$4),"",N(INDEX(Dashboard!$C$2:$AF$61,MATCH(LARGE(Dashboard!$AI$2:$AI$61,$A61),Dashboard!$AI$2:$AI$61,0),COLUMNS($D61:P61)))&amp;"/"&amp;INDEX(Beheer!$B$7:$B$36,COLUMNS($D61:P61)))</f>
        <v/>
      </c>
      <c r="Q61" s="97" t="str" cm="1">
        <f t="array" ref="Q61">IF(OR($A61="",COLUMNS($D61:Q61)&gt;Beheer!$C$4),"",N(INDEX(Dashboard!$C$2:$AF$61,MATCH(LARGE(Dashboard!$AI$2:$AI$61,$A61),Dashboard!$AI$2:$AI$61,0),COLUMNS($D61:Q61)))&amp;"/"&amp;INDEX(Beheer!$B$7:$B$36,COLUMNS($D61:Q61)))</f>
        <v/>
      </c>
      <c r="R61" s="97" t="str" cm="1">
        <f t="array" ref="R61">IF(OR($A61="",COLUMNS($D61:R61)&gt;Beheer!$C$4),"",N(INDEX(Dashboard!$C$2:$AF$61,MATCH(LARGE(Dashboard!$AI$2:$AI$61,$A61),Dashboard!$AI$2:$AI$61,0),COLUMNS($D61:R61)))&amp;"/"&amp;INDEX(Beheer!$B$7:$B$36,COLUMNS($D61:R61)))</f>
        <v/>
      </c>
      <c r="S61" s="97" t="str" cm="1">
        <f t="array" ref="S61">IF(OR($A61="",COLUMNS($D61:S61)&gt;Beheer!$C$4),"",N(INDEX(Dashboard!$C$2:$AF$61,MATCH(LARGE(Dashboard!$AI$2:$AI$61,$A61),Dashboard!$AI$2:$AI$61,0),COLUMNS($D61:S61)))&amp;"/"&amp;INDEX(Beheer!$B$7:$B$36,COLUMNS($D61:S61)))</f>
        <v/>
      </c>
      <c r="T61" s="97" t="str" cm="1">
        <f t="array" ref="T61">IF(OR($A61="",COLUMNS($D61:T61)&gt;Beheer!$C$4),"",N(INDEX(Dashboard!$C$2:$AF$61,MATCH(LARGE(Dashboard!$AI$2:$AI$61,$A61),Dashboard!$AI$2:$AI$61,0),COLUMNS($D61:T61)))&amp;"/"&amp;INDEX(Beheer!$B$7:$B$36,COLUMNS($D61:T61)))</f>
        <v/>
      </c>
      <c r="U61" s="97" t="str" cm="1">
        <f t="array" ref="U61">IF(OR($A61="",COLUMNS($D61:U61)&gt;Beheer!$C$4),"",N(INDEX(Dashboard!$C$2:$AF$61,MATCH(LARGE(Dashboard!$AI$2:$AI$61,$A61),Dashboard!$AI$2:$AI$61,0),COLUMNS($D61:U61)))&amp;"/"&amp;INDEX(Beheer!$B$7:$B$36,COLUMNS($D61:U61)))</f>
        <v/>
      </c>
      <c r="V61" s="97" t="str" cm="1">
        <f t="array" ref="V61">IF(OR($A61="",COLUMNS($D61:V61)&gt;Beheer!$C$4),"",N(INDEX(Dashboard!$C$2:$AF$61,MATCH(LARGE(Dashboard!$AI$2:$AI$61,$A61),Dashboard!$AI$2:$AI$61,0),COLUMNS($D61:V61)))&amp;"/"&amp;INDEX(Beheer!$B$7:$B$36,COLUMNS($D61:V61)))</f>
        <v/>
      </c>
      <c r="W61" s="97" t="str" cm="1">
        <f t="array" ref="W61">IF(OR($A61="",COLUMNS($D61:W61)&gt;Beheer!$C$4),"",N(INDEX(Dashboard!$C$2:$AF$61,MATCH(LARGE(Dashboard!$AI$2:$AI$61,$A61),Dashboard!$AI$2:$AI$61,0),COLUMNS($D61:W61)))&amp;"/"&amp;INDEX(Beheer!$B$7:$B$36,COLUMNS($D61:W61)))</f>
        <v/>
      </c>
      <c r="X61" s="97" t="str" cm="1">
        <f t="array" ref="X61">IF(OR($A61="",COLUMNS($D61:X61)&gt;Beheer!$C$4),"",N(INDEX(Dashboard!$C$2:$AF$61,MATCH(LARGE(Dashboard!$AI$2:$AI$61,$A61),Dashboard!$AI$2:$AI$61,0),COLUMNS($D61:X61)))&amp;"/"&amp;INDEX(Beheer!$B$7:$B$36,COLUMNS($D61:X61)))</f>
        <v/>
      </c>
      <c r="Y61" s="97" t="str" cm="1">
        <f t="array" ref="Y61">IF(OR($A61="",COLUMNS($D61:Y61)&gt;Beheer!$C$4),"",N(INDEX(Dashboard!$C$2:$AF$61,MATCH(LARGE(Dashboard!$AI$2:$AI$61,$A61),Dashboard!$AI$2:$AI$61,0),COLUMNS($D61:Y61)))&amp;"/"&amp;INDEX(Beheer!$B$7:$B$36,COLUMNS($D61:Y61)))</f>
        <v/>
      </c>
      <c r="Z61" s="97" t="str" cm="1">
        <f t="array" ref="Z61">IF(OR($A61="",COLUMNS($D61:Z61)&gt;Beheer!$C$4),"",N(INDEX(Dashboard!$C$2:$AF$61,MATCH(LARGE(Dashboard!$AI$2:$AI$61,$A61),Dashboard!$AI$2:$AI$61,0),COLUMNS($D61:Z61)))&amp;"/"&amp;INDEX(Beheer!$B$7:$B$36,COLUMNS($D61:Z61)))</f>
        <v/>
      </c>
      <c r="AA61" s="97" t="str" cm="1">
        <f t="array" ref="AA61">IF(OR($A61="",COLUMNS($D61:AA61)&gt;Beheer!$C$4),"",N(INDEX(Dashboard!$C$2:$AF$61,MATCH(LARGE(Dashboard!$AI$2:$AI$61,$A61),Dashboard!$AI$2:$AI$61,0),COLUMNS($D61:AA61)))&amp;"/"&amp;INDEX(Beheer!$B$7:$B$36,COLUMNS($D61:AA61)))</f>
        <v/>
      </c>
      <c r="AB61" s="97" t="str" cm="1">
        <f t="array" ref="AB61">IF(OR($A61="",COLUMNS($D61:AB61)&gt;Beheer!$C$4),"",N(INDEX(Dashboard!$C$2:$AF$61,MATCH(LARGE(Dashboard!$AI$2:$AI$61,$A61),Dashboard!$AI$2:$AI$61,0),COLUMNS($D61:AB61)))&amp;"/"&amp;INDEX(Beheer!$B$7:$B$36,COLUMNS($D61:AB61)))</f>
        <v/>
      </c>
      <c r="AC61" s="97" t="str" cm="1">
        <f t="array" ref="AC61">IF(OR($A61="",COLUMNS($D61:AC61)&gt;Beheer!$C$4),"",N(INDEX(Dashboard!$C$2:$AF$61,MATCH(LARGE(Dashboard!$AI$2:$AI$61,$A61),Dashboard!$AI$2:$AI$61,0),COLUMNS($D61:AC61)))&amp;"/"&amp;INDEX(Beheer!$B$7:$B$36,COLUMNS($D61:AC61)))</f>
        <v/>
      </c>
      <c r="AD61" s="97" t="str" cm="1">
        <f t="array" ref="AD61">IF(OR($A61="",COLUMNS($D61:AD61)&gt;Beheer!$C$4),"",N(INDEX(Dashboard!$C$2:$AF$61,MATCH(LARGE(Dashboard!$AI$2:$AI$61,$A61),Dashboard!$AI$2:$AI$61,0),COLUMNS($D61:AD61)))&amp;"/"&amp;INDEX(Beheer!$B$7:$B$36,COLUMNS($D61:AD61)))</f>
        <v/>
      </c>
      <c r="AE61" s="97" t="str" cm="1">
        <f t="array" ref="AE61">IF(OR($A61="",COLUMNS($D61:AE61)&gt;Beheer!$C$4),"",N(INDEX(Dashboard!$C$2:$AF$61,MATCH(LARGE(Dashboard!$AI$2:$AI$61,$A61),Dashboard!$AI$2:$AI$61,0),COLUMNS($D61:AE61)))&amp;"/"&amp;INDEX(Beheer!$B$7:$B$36,COLUMNS($D61:AE61)))</f>
        <v/>
      </c>
      <c r="AF61" s="97" t="str" cm="1">
        <f t="array" ref="AF61">IF(OR($A61="",COLUMNS($D61:AF61)&gt;Beheer!$C$4),"",N(INDEX(Dashboard!$C$2:$AF$61,MATCH(LARGE(Dashboard!$AI$2:$AI$61,$A61),Dashboard!$AI$2:$AI$61,0),COLUMNS($D61:AF61)))&amp;"/"&amp;INDEX(Beheer!$B$7:$B$36,COLUMNS($D61:AF61)))</f>
        <v/>
      </c>
      <c r="AG61" s="97" t="str" cm="1">
        <f t="array" ref="AG61">IF(OR($A61="",COLUMNS($D61:AG61)&gt;Beheer!$C$4),"",N(INDEX(Dashboard!$C$2:$AF$61,MATCH(LARGE(Dashboard!$AI$2:$AI$61,$A61),Dashboard!$AI$2:$AI$61,0),COLUMNS($D61:AG61)))&amp;"/"&amp;INDEX(Beheer!$B$7:$B$36,COLUMNS($D61:AG61)))</f>
        <v/>
      </c>
    </row>
  </sheetData>
  <conditionalFormatting sqref="D2:AG61">
    <cfRule type="expression" dxfId="0" priority="1">
      <formula>AND(D2&lt;&gt;"",LEFT(D2,FIND("/",D2&amp;"/")-1)=MID(D2,FIND("/",D2&amp;"/")+1,10),LEFT(D2,FIND("/",D2&amp;"/")-1)&lt;&gt;"0")</formula>
    </cfRule>
  </conditionalFormatting>
  <pageMargins left="0.7" right="0.7" top="0.75" bottom="0.75" header="0.3" footer="0.3"/>
  <pageSetup paperSize="9" orientation="portrait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C6D48A-56A1-4A52-99CB-5170FCFC2563}">
  <sheetPr>
    <pageSetUpPr fitToPage="1"/>
  </sheetPr>
  <dimension ref="A1:AZ80"/>
  <sheetViews>
    <sheetView workbookViewId="0">
      <selection activeCell="Z7" sqref="Z7"/>
    </sheetView>
  </sheetViews>
  <sheetFormatPr defaultRowHeight="14.25" x14ac:dyDescent="0.45"/>
  <cols>
    <col min="1" max="1" width="1.53125" customWidth="1"/>
    <col min="2" max="9" width="3.19921875" customWidth="1"/>
    <col min="10" max="10" width="12.46484375" customWidth="1"/>
    <col min="11" max="19" width="3.19921875" customWidth="1"/>
    <col min="20" max="20" width="12.46484375" customWidth="1"/>
    <col min="21" max="21" width="2.1328125" style="6" customWidth="1"/>
    <col min="22" max="22" width="6.73046875" style="6" customWidth="1"/>
    <col min="23" max="25" width="7.46484375" style="6" customWidth="1"/>
    <col min="26" max="26" width="19.33203125" style="6" customWidth="1"/>
    <col min="27" max="27" width="8.86328125" customWidth="1"/>
    <col min="28" max="30" width="2.1328125" customWidth="1"/>
  </cols>
  <sheetData>
    <row r="1" spans="1:52" ht="8" customHeight="1" x14ac:dyDescent="0.45">
      <c r="A1" s="46"/>
      <c r="B1" s="46"/>
      <c r="C1" s="46"/>
      <c r="D1" s="46"/>
      <c r="E1" s="46"/>
      <c r="F1" s="46"/>
      <c r="G1" s="46"/>
      <c r="H1" s="46"/>
      <c r="I1" s="46"/>
      <c r="J1" s="46"/>
      <c r="K1" s="46"/>
      <c r="L1" s="46"/>
      <c r="M1" s="46"/>
      <c r="N1" s="46"/>
      <c r="O1" s="46"/>
      <c r="P1" s="46"/>
      <c r="Q1" s="46"/>
      <c r="R1" s="46"/>
      <c r="S1" s="46"/>
      <c r="T1" s="46"/>
      <c r="U1" s="46"/>
      <c r="V1" s="46"/>
      <c r="W1" s="46"/>
      <c r="X1" s="46"/>
      <c r="Y1" s="46"/>
      <c r="Z1" s="46"/>
      <c r="AA1" s="6"/>
      <c r="AB1" s="6"/>
      <c r="AC1" s="6"/>
      <c r="AD1" s="6"/>
      <c r="AE1" s="6"/>
      <c r="AF1" s="6"/>
      <c r="AG1" s="6"/>
      <c r="AH1" s="6"/>
      <c r="AI1" s="6"/>
      <c r="AJ1" s="6"/>
      <c r="AK1" s="6"/>
      <c r="AL1" s="6"/>
      <c r="AM1" s="6"/>
      <c r="AN1" s="6"/>
      <c r="AO1" s="6"/>
      <c r="AP1" s="6"/>
      <c r="AQ1" s="6"/>
      <c r="AR1" s="6"/>
      <c r="AS1" s="6"/>
      <c r="AT1" s="6"/>
      <c r="AU1" s="6"/>
      <c r="AV1" s="6"/>
      <c r="AW1" s="6"/>
      <c r="AX1" s="6"/>
      <c r="AY1" s="6"/>
      <c r="AZ1" s="6"/>
    </row>
    <row r="2" spans="1:52" ht="21" customHeight="1" x14ac:dyDescent="0.45">
      <c r="A2" s="46"/>
      <c r="B2" s="163" t="s">
        <v>30</v>
      </c>
      <c r="C2" s="157"/>
      <c r="D2" s="157"/>
      <c r="E2" s="157"/>
      <c r="F2" s="157"/>
      <c r="G2" s="157"/>
      <c r="H2" s="157"/>
      <c r="I2" s="157"/>
      <c r="J2" s="157"/>
      <c r="K2" s="157"/>
      <c r="L2" s="157"/>
      <c r="M2" s="157"/>
      <c r="N2" s="157"/>
      <c r="O2" s="157"/>
      <c r="P2" s="157"/>
      <c r="Q2" s="157"/>
      <c r="R2" s="157"/>
      <c r="S2" s="157"/>
      <c r="T2" s="157"/>
      <c r="U2" s="46"/>
      <c r="V2" s="46"/>
      <c r="W2" s="46"/>
      <c r="X2" s="46"/>
      <c r="Y2" s="46"/>
      <c r="Z2" s="46"/>
      <c r="AA2" s="6"/>
      <c r="AB2" s="6"/>
      <c r="AC2" s="6"/>
      <c r="AD2" s="6"/>
      <c r="AE2" s="6"/>
      <c r="AF2" s="6"/>
      <c r="AG2" s="6"/>
      <c r="AH2" s="6"/>
      <c r="AI2" s="6"/>
      <c r="AJ2" s="6"/>
      <c r="AK2" s="6"/>
      <c r="AL2" s="6"/>
      <c r="AM2" s="6"/>
      <c r="AN2" s="6"/>
      <c r="AO2" s="6"/>
      <c r="AP2" s="6"/>
      <c r="AQ2" s="6"/>
      <c r="AR2" s="6"/>
      <c r="AS2" s="6"/>
      <c r="AT2" s="6"/>
      <c r="AU2" s="6"/>
      <c r="AV2" s="6"/>
      <c r="AW2" s="6"/>
      <c r="AX2" s="6"/>
      <c r="AY2" s="6"/>
      <c r="AZ2" s="6"/>
    </row>
    <row r="3" spans="1:52" ht="4.05" customHeight="1" x14ac:dyDescent="0.45">
      <c r="A3" s="46"/>
      <c r="B3" s="157"/>
      <c r="C3" s="157"/>
      <c r="D3" s="157"/>
      <c r="E3" s="157"/>
      <c r="F3" s="157"/>
      <c r="G3" s="157"/>
      <c r="H3" s="157"/>
      <c r="I3" s="157"/>
      <c r="J3" s="157"/>
      <c r="K3" s="157"/>
      <c r="L3" s="157"/>
      <c r="M3" s="157"/>
      <c r="N3" s="157"/>
      <c r="O3" s="157"/>
      <c r="P3" s="157"/>
      <c r="Q3" s="157"/>
      <c r="R3" s="157"/>
      <c r="S3" s="157"/>
      <c r="T3" s="157"/>
      <c r="U3" s="46"/>
      <c r="V3" s="46"/>
      <c r="W3" s="46"/>
      <c r="X3" s="46"/>
      <c r="Y3" s="46"/>
      <c r="Z3" s="46"/>
      <c r="AA3" s="6"/>
      <c r="AB3" s="6"/>
      <c r="AC3" s="6"/>
      <c r="AD3" s="6"/>
      <c r="AE3" s="6"/>
      <c r="AF3" s="6"/>
      <c r="AG3" s="6"/>
      <c r="AH3" s="6"/>
      <c r="AI3" s="6"/>
      <c r="AJ3" s="6"/>
      <c r="AK3" s="6"/>
      <c r="AL3" s="6"/>
      <c r="AM3" s="6"/>
      <c r="AN3" s="6"/>
      <c r="AO3" s="6"/>
      <c r="AP3" s="6"/>
      <c r="AQ3" s="6"/>
      <c r="AR3" s="6"/>
      <c r="AS3" s="6"/>
      <c r="AT3" s="6"/>
      <c r="AU3" s="6"/>
      <c r="AV3" s="6"/>
      <c r="AW3" s="6"/>
      <c r="AX3" s="6"/>
      <c r="AY3" s="6"/>
      <c r="AZ3" s="6"/>
    </row>
    <row r="4" spans="1:52" ht="4.05" customHeight="1" x14ac:dyDescent="0.45">
      <c r="A4" s="46"/>
      <c r="B4" s="157"/>
      <c r="C4" s="157"/>
      <c r="D4" s="157"/>
      <c r="E4" s="157"/>
      <c r="F4" s="157"/>
      <c r="G4" s="157"/>
      <c r="H4" s="157"/>
      <c r="I4" s="157"/>
      <c r="J4" s="157"/>
      <c r="K4" s="157"/>
      <c r="L4" s="157"/>
      <c r="M4" s="157"/>
      <c r="N4" s="157"/>
      <c r="O4" s="157"/>
      <c r="P4" s="157"/>
      <c r="Q4" s="157"/>
      <c r="R4" s="157"/>
      <c r="S4" s="157"/>
      <c r="T4" s="157"/>
      <c r="U4" s="46"/>
      <c r="V4" s="46"/>
      <c r="W4" s="46"/>
      <c r="X4" s="46"/>
      <c r="Y4" s="46"/>
      <c r="Z4" s="46"/>
      <c r="AA4" s="6"/>
      <c r="AB4" s="6"/>
      <c r="AC4" s="6"/>
      <c r="AD4" s="6"/>
      <c r="AE4" s="6"/>
      <c r="AF4" s="6"/>
      <c r="AG4" s="6"/>
      <c r="AH4" s="6"/>
      <c r="AI4" s="6"/>
      <c r="AJ4" s="6"/>
      <c r="AK4" s="6"/>
      <c r="AL4" s="6"/>
      <c r="AM4" s="6"/>
      <c r="AN4" s="6"/>
      <c r="AO4" s="6"/>
      <c r="AP4" s="6"/>
      <c r="AQ4" s="6"/>
      <c r="AR4" s="6"/>
      <c r="AS4" s="6"/>
      <c r="AT4" s="6"/>
      <c r="AU4" s="6"/>
      <c r="AV4" s="6"/>
      <c r="AW4" s="6"/>
      <c r="AX4" s="6"/>
      <c r="AY4" s="6"/>
      <c r="AZ4" s="6"/>
    </row>
    <row r="5" spans="1:52" ht="16.05" customHeight="1" x14ac:dyDescent="0.45">
      <c r="A5" s="46"/>
      <c r="B5" s="164" t="s">
        <v>31</v>
      </c>
      <c r="C5" s="157"/>
      <c r="D5" s="157"/>
      <c r="E5" s="157"/>
      <c r="F5" s="157"/>
      <c r="G5" s="157"/>
      <c r="H5" s="157"/>
      <c r="I5" s="157"/>
      <c r="J5" s="157"/>
      <c r="K5" s="157"/>
      <c r="L5" s="157"/>
      <c r="M5" s="157"/>
      <c r="N5" s="157"/>
      <c r="O5" s="157"/>
      <c r="P5" s="157"/>
      <c r="Q5" s="157"/>
      <c r="R5" s="157"/>
      <c r="S5" s="157"/>
      <c r="T5" s="157"/>
      <c r="U5" s="46"/>
      <c r="V5" s="46"/>
      <c r="W5" s="46"/>
      <c r="X5" s="46"/>
      <c r="Y5" s="46"/>
      <c r="Z5" s="46"/>
      <c r="AA5" s="6"/>
      <c r="AB5" s="6"/>
      <c r="AC5" s="6"/>
      <c r="AD5" s="6"/>
      <c r="AE5" s="6"/>
      <c r="AF5" s="6"/>
      <c r="AG5" s="6"/>
      <c r="AH5" s="6"/>
      <c r="AI5" s="6"/>
      <c r="AJ5" s="6"/>
      <c r="AK5" s="6"/>
      <c r="AL5" s="6"/>
      <c r="AM5" s="6"/>
      <c r="AN5" s="6"/>
      <c r="AO5" s="6"/>
      <c r="AP5" s="6"/>
      <c r="AQ5" s="6"/>
      <c r="AR5" s="6"/>
      <c r="AS5" s="6"/>
      <c r="AT5" s="6"/>
      <c r="AU5" s="6"/>
      <c r="AV5" s="6"/>
      <c r="AW5" s="6"/>
      <c r="AX5" s="6"/>
      <c r="AY5" s="6"/>
      <c r="AZ5" s="6"/>
    </row>
    <row r="6" spans="1:52" ht="22.05" customHeight="1" x14ac:dyDescent="0.45">
      <c r="A6" s="46"/>
      <c r="B6" s="184"/>
      <c r="C6" s="185"/>
      <c r="D6" s="185"/>
      <c r="E6" s="185"/>
      <c r="F6" s="186"/>
      <c r="G6" s="187"/>
      <c r="H6" s="188"/>
      <c r="I6" s="188"/>
      <c r="J6" s="188"/>
      <c r="K6" s="189"/>
      <c r="L6" s="190"/>
      <c r="M6" s="191"/>
      <c r="N6" s="191"/>
      <c r="O6" s="191"/>
      <c r="P6" s="192"/>
      <c r="Q6" s="193"/>
      <c r="R6" s="194"/>
      <c r="S6" s="194"/>
      <c r="T6" s="195"/>
      <c r="U6" s="46"/>
      <c r="V6" s="136" t="s">
        <v>52</v>
      </c>
      <c r="W6" s="137"/>
      <c r="X6" s="137"/>
      <c r="Y6" s="137"/>
      <c r="Z6" s="137"/>
      <c r="AA6" s="138"/>
      <c r="AB6" s="6"/>
      <c r="AC6" s="6"/>
      <c r="AD6" s="6"/>
      <c r="AE6" s="6"/>
      <c r="AF6" s="6"/>
      <c r="AG6" s="6"/>
      <c r="AH6" s="6"/>
      <c r="AI6" s="6"/>
      <c r="AJ6" s="6"/>
      <c r="AK6" s="6"/>
      <c r="AL6" s="6"/>
      <c r="AM6" s="6"/>
      <c r="AN6" s="6"/>
      <c r="AO6" s="6"/>
      <c r="AP6" s="6"/>
      <c r="AQ6" s="6"/>
      <c r="AR6" s="6"/>
      <c r="AS6" s="6"/>
      <c r="AT6" s="6"/>
      <c r="AU6" s="6"/>
      <c r="AV6" s="6"/>
      <c r="AW6" s="6"/>
      <c r="AX6" s="6"/>
      <c r="AY6" s="6"/>
      <c r="AZ6" s="6"/>
    </row>
    <row r="7" spans="1:52" ht="18" customHeight="1" x14ac:dyDescent="0.45">
      <c r="A7" s="46"/>
      <c r="B7" s="165" t="s">
        <v>4</v>
      </c>
      <c r="C7" s="166"/>
      <c r="D7" s="166"/>
      <c r="E7" s="167"/>
      <c r="F7" s="157"/>
      <c r="G7" s="169" t="s">
        <v>11</v>
      </c>
      <c r="H7" s="170"/>
      <c r="I7" s="170"/>
      <c r="J7" s="171"/>
      <c r="K7" s="157"/>
      <c r="L7" s="154" t="s">
        <v>41</v>
      </c>
      <c r="M7" s="155"/>
      <c r="N7" s="155"/>
      <c r="O7" s="156"/>
      <c r="P7" s="157"/>
      <c r="Q7" s="159" t="s">
        <v>51</v>
      </c>
      <c r="R7" s="160"/>
      <c r="S7" s="160"/>
      <c r="T7" s="161"/>
      <c r="U7" s="46"/>
      <c r="V7" s="117" t="s">
        <v>8</v>
      </c>
      <c r="W7" s="118" t="s">
        <v>53</v>
      </c>
      <c r="X7" s="118" t="s">
        <v>1</v>
      </c>
      <c r="Y7" s="118" t="s">
        <v>5</v>
      </c>
      <c r="Z7" s="130" t="s">
        <v>54</v>
      </c>
      <c r="AA7" s="119" t="s">
        <v>6</v>
      </c>
      <c r="AB7" s="6"/>
      <c r="AC7" s="6"/>
      <c r="AD7" s="6"/>
      <c r="AE7" s="6"/>
      <c r="AF7" s="6"/>
      <c r="AG7" s="6"/>
      <c r="AH7" s="6"/>
      <c r="AI7" s="6"/>
      <c r="AJ7" s="6"/>
      <c r="AK7" s="6"/>
      <c r="AL7" s="6"/>
      <c r="AM7" s="6"/>
      <c r="AN7" s="6"/>
      <c r="AO7" s="6"/>
      <c r="AP7" s="6"/>
      <c r="AQ7" s="6"/>
      <c r="AR7" s="6"/>
      <c r="AS7" s="6"/>
      <c r="AT7" s="6"/>
      <c r="AU7" s="6"/>
      <c r="AV7" s="6"/>
      <c r="AW7" s="6"/>
      <c r="AX7" s="6"/>
      <c r="AY7" s="6"/>
      <c r="AZ7" s="6"/>
    </row>
    <row r="8" spans="1:52" ht="18" customHeight="1" x14ac:dyDescent="0.45">
      <c r="A8" s="46"/>
      <c r="B8" s="168"/>
      <c r="C8" s="166"/>
      <c r="D8" s="166"/>
      <c r="E8" s="167"/>
      <c r="F8" s="157"/>
      <c r="G8" s="172"/>
      <c r="H8" s="170"/>
      <c r="I8" s="170"/>
      <c r="J8" s="171"/>
      <c r="K8" s="157"/>
      <c r="L8" s="158"/>
      <c r="M8" s="155"/>
      <c r="N8" s="155"/>
      <c r="O8" s="156"/>
      <c r="P8" s="157"/>
      <c r="Q8" s="162"/>
      <c r="R8" s="160"/>
      <c r="S8" s="160"/>
      <c r="T8" s="161"/>
      <c r="U8" s="46"/>
      <c r="V8" s="120" t="str">
        <f>IF(1&lt;=Beheer!$C$4,"R1","")</f>
        <v>R1</v>
      </c>
      <c r="W8" s="54">
        <f ca="1">IF(1&lt;=Beheer!$C$4,ROUND(AVERAGE(OFFSET(Dashboard!$B$2,0,1,COUNTA(Beheer!$F$7:$F$66),1)),1),"")</f>
        <v>6.5</v>
      </c>
      <c r="X8" s="108">
        <f ca="1">IF(1&lt;=Beheer!$C$4,MAX(OFFSET(Dashboard!$B$2,0,1,COUNTA(Beheer!$F$7:$F$66),1)),"")</f>
        <v>10</v>
      </c>
      <c r="Y8" s="109">
        <f ca="1">IF(1&lt;=Beheer!$C$4,MIN(OFFSET(Dashboard!$B$2,0,1,COUNTA(Beheer!$F$7:$F$66),1)),"")</f>
        <v>1</v>
      </c>
      <c r="Z8" s="66" t="str">
        <f ca="1">IF(1&lt;=Beheer!$C$4,REPT("█",ROUND(AVERAGE(OFFSET(Dashboard!$B$2,0,1,COUNTA(Beheer!$F$7:$F$66),1))/INDEX(Beheer!$B$7:$B$66,1)*20,0)),"")</f>
        <v>█████████████</v>
      </c>
      <c r="AA8" s="116" t="str">
        <f ca="1">IF(1&lt;=Beheer!$C$4,TEXT(COUNTIF(OFFSET(Dashboard!$B$2,0,1,COUNTA(Beheer!$F$7:$F$66),1),INDEX(Beheer!$B$7:$B$66,1))/COUNTA(Beheer!$F$7:$F$66),"0%"),"")</f>
        <v>28%</v>
      </c>
      <c r="AB8" s="6"/>
      <c r="AC8" s="6"/>
      <c r="AD8" s="6"/>
      <c r="AE8" s="6"/>
      <c r="AF8" s="6"/>
      <c r="AG8" s="6"/>
      <c r="AH8" s="6"/>
      <c r="AI8" s="6"/>
      <c r="AJ8" s="6"/>
      <c r="AK8" s="6"/>
      <c r="AL8" s="6"/>
      <c r="AM8" s="6"/>
      <c r="AN8" s="6"/>
      <c r="AO8" s="6"/>
      <c r="AP8" s="6"/>
      <c r="AQ8" s="6"/>
      <c r="AR8" s="6"/>
      <c r="AS8" s="6"/>
      <c r="AT8" s="6"/>
      <c r="AU8" s="6"/>
      <c r="AV8" s="6"/>
      <c r="AW8" s="6"/>
      <c r="AX8" s="6"/>
      <c r="AY8" s="6"/>
      <c r="AZ8" s="6"/>
    </row>
    <row r="9" spans="1:52" ht="18" customHeight="1" x14ac:dyDescent="0.45">
      <c r="A9" s="46"/>
      <c r="B9" s="139">
        <f>COUNTA(Beheer!F7:F36)</f>
        <v>25</v>
      </c>
      <c r="C9" s="140"/>
      <c r="D9" s="140"/>
      <c r="E9" s="141"/>
      <c r="F9" s="142"/>
      <c r="G9" s="143">
        <f>Beheer!C4</f>
        <v>12</v>
      </c>
      <c r="H9" s="144"/>
      <c r="I9" s="144"/>
      <c r="J9" s="145"/>
      <c r="K9" s="146"/>
      <c r="L9" s="147">
        <f>SUM(Dashboard!C2:AF61)</f>
        <v>1802</v>
      </c>
      <c r="M9" s="148"/>
      <c r="N9" s="148"/>
      <c r="O9" s="149"/>
      <c r="P9" s="150"/>
      <c r="Q9" s="151">
        <f>ROUND(AVERAGE(Dashboard!C2:AF61),1)</f>
        <v>6</v>
      </c>
      <c r="R9" s="152"/>
      <c r="S9" s="152"/>
      <c r="T9" s="153"/>
      <c r="U9" s="46"/>
      <c r="V9" s="120" t="str">
        <f>IF(2&lt;=Beheer!$C$4,"R2","")</f>
        <v>R2</v>
      </c>
      <c r="W9" s="53">
        <f ca="1">IF(2&lt;=Beheer!$C$4,ROUND(AVERAGE(OFFSET(Dashboard!$B$2,0,2,COUNTA(Beheer!$F$7:$F$66),1)),1),"")</f>
        <v>6.4</v>
      </c>
      <c r="X9" s="110">
        <f ca="1">IF(2&lt;=Beheer!$C$4,MAX(OFFSET(Dashboard!$B$2,0,2,COUNTA(Beheer!$F$7:$F$66),1)),"")</f>
        <v>10</v>
      </c>
      <c r="Y9" s="111">
        <f ca="1">IF(2&lt;=Beheer!$C$4,MIN(OFFSET(Dashboard!$B$2,0,2,COUNTA(Beheer!$F$7:$F$66),1)),"")</f>
        <v>1</v>
      </c>
      <c r="Z9" s="67" t="str">
        <f ca="1">IF(2&lt;=Beheer!$C$4,REPT("█",ROUND(AVERAGE(OFFSET(Dashboard!$B$2,0,2,COUNTA(Beheer!$F$7:$F$66),1))/INDEX(Beheer!$B$7:$B$66,2)*20,0)),"")</f>
        <v>█████████████</v>
      </c>
      <c r="AA9" s="116" t="str">
        <f ca="1">IF(2&lt;=Beheer!$C$4,TEXT(COUNTIF(OFFSET(Dashboard!$B$2,0,2,COUNTA(Beheer!$F$7:$F$66),1),INDEX(Beheer!$B$7:$B$66,2))/COUNTA(Beheer!$F$7:$F$66),"0%"),"")</f>
        <v>20%</v>
      </c>
      <c r="AB9" s="6"/>
      <c r="AC9" s="6"/>
      <c r="AD9" s="6"/>
      <c r="AE9" s="6"/>
      <c r="AF9" s="6"/>
      <c r="AG9" s="6"/>
      <c r="AH9" s="6"/>
      <c r="AI9" s="6"/>
      <c r="AJ9" s="6"/>
      <c r="AK9" s="6"/>
      <c r="AL9" s="6"/>
      <c r="AM9" s="6"/>
      <c r="AN9" s="6"/>
      <c r="AO9" s="6"/>
      <c r="AP9" s="6"/>
      <c r="AQ9" s="6"/>
      <c r="AR9" s="6"/>
      <c r="AS9" s="6"/>
      <c r="AT9" s="6"/>
      <c r="AU9" s="6"/>
      <c r="AV9" s="6"/>
      <c r="AW9" s="6"/>
      <c r="AX9" s="6"/>
      <c r="AY9" s="6"/>
      <c r="AZ9" s="6"/>
    </row>
    <row r="10" spans="1:52" ht="18" customHeight="1" x14ac:dyDescent="0.45">
      <c r="A10" s="46"/>
      <c r="B10" s="173"/>
      <c r="C10" s="174"/>
      <c r="D10" s="174"/>
      <c r="E10" s="174"/>
      <c r="F10" s="175"/>
      <c r="G10" s="72"/>
      <c r="H10" s="176"/>
      <c r="I10" s="176"/>
      <c r="J10" s="176"/>
      <c r="K10" s="177"/>
      <c r="L10" s="178"/>
      <c r="M10" s="179"/>
      <c r="N10" s="179"/>
      <c r="O10" s="179"/>
      <c r="P10" s="180"/>
      <c r="Q10" s="181"/>
      <c r="R10" s="182"/>
      <c r="S10" s="182"/>
      <c r="T10" s="183"/>
      <c r="U10" s="46"/>
      <c r="V10" s="120" t="str">
        <f>IF(3&lt;=Beheer!$C$4,"R3","")</f>
        <v>R3</v>
      </c>
      <c r="W10" s="54">
        <f ca="1">IF(3&lt;=Beheer!$C$4,ROUND(AVERAGE(OFFSET(Dashboard!$B$2,0,3,COUNTA(Beheer!$F$7:$F$66),1)),1),"")</f>
        <v>4.3</v>
      </c>
      <c r="X10" s="108">
        <f ca="1">IF(3&lt;=Beheer!$C$4,MAX(OFFSET(Dashboard!$B$2,0,3,COUNTA(Beheer!$F$7:$F$66),1)),"")</f>
        <v>9</v>
      </c>
      <c r="Y10" s="109">
        <f ca="1">IF(3&lt;=Beheer!$C$4,MIN(OFFSET(Dashboard!$B$2,0,3,COUNTA(Beheer!$F$7:$F$66),1)),"")</f>
        <v>1</v>
      </c>
      <c r="Z10" s="66" t="str">
        <f ca="1">IF(3&lt;=Beheer!$C$4,REPT("█",ROUND(AVERAGE(OFFSET(Dashboard!$B$2,0,3,COUNTA(Beheer!$F$7:$F$66),1))/INDEX(Beheer!$B$7:$B$66,3)*20,0)),"")</f>
        <v>█████████</v>
      </c>
      <c r="AA10" s="116" t="str">
        <f ca="1">IF(3&lt;=Beheer!$C$4,TEXT(COUNTIF(OFFSET(Dashboard!$B$2,0,3,COUNTA(Beheer!$F$7:$F$66),1),INDEX(Beheer!$B$7:$B$66,3))/COUNTA(Beheer!$F$7:$F$66),"0%"),"")</f>
        <v>0%</v>
      </c>
      <c r="AB10" s="6"/>
      <c r="AC10" s="6"/>
      <c r="AD10" s="6"/>
      <c r="AE10" s="6"/>
      <c r="AF10" s="6"/>
      <c r="AG10" s="6"/>
      <c r="AH10" s="6"/>
      <c r="AI10" s="6"/>
      <c r="AJ10" s="6"/>
      <c r="AK10" s="6"/>
      <c r="AL10" s="6"/>
      <c r="AM10" s="6"/>
      <c r="AN10" s="6"/>
      <c r="AO10" s="6"/>
      <c r="AP10" s="6"/>
      <c r="AQ10" s="6"/>
      <c r="AR10" s="6"/>
      <c r="AS10" s="6"/>
      <c r="AT10" s="6"/>
      <c r="AU10" s="6"/>
      <c r="AV10" s="6"/>
      <c r="AW10" s="6"/>
      <c r="AX10" s="6"/>
      <c r="AY10" s="6"/>
      <c r="AZ10" s="6"/>
    </row>
    <row r="11" spans="1:52" ht="18" customHeight="1" x14ac:dyDescent="0.45">
      <c r="A11" s="46"/>
      <c r="B11" s="48"/>
      <c r="C11" s="47"/>
      <c r="D11" s="47"/>
      <c r="E11" s="47"/>
      <c r="F11" s="47"/>
      <c r="G11" s="47"/>
      <c r="H11" s="47"/>
      <c r="I11" s="47"/>
      <c r="J11" s="49"/>
      <c r="K11" s="64"/>
      <c r="L11" s="48"/>
      <c r="M11" s="47"/>
      <c r="N11" s="47"/>
      <c r="O11" s="47"/>
      <c r="P11" s="47"/>
      <c r="Q11" s="47"/>
      <c r="R11" s="47"/>
      <c r="S11" s="47"/>
      <c r="T11" s="49"/>
      <c r="U11" s="46"/>
      <c r="V11" s="120" t="str">
        <f>IF(4&lt;=Beheer!$C$4,"R4","")</f>
        <v>R4</v>
      </c>
      <c r="W11" s="53">
        <f ca="1">IF(4&lt;=Beheer!$C$4,ROUND(AVERAGE(OFFSET(Dashboard!$B$2,0,4,COUNTA(Beheer!$F$7:$F$66),1)),1),"")</f>
        <v>9.8000000000000007</v>
      </c>
      <c r="X11" s="110">
        <f ca="1">IF(4&lt;=Beheer!$C$4,MAX(OFFSET(Dashboard!$B$2,0,4,COUNTA(Beheer!$F$7:$F$66),1)),"")</f>
        <v>20</v>
      </c>
      <c r="Y11" s="111">
        <f ca="1">IF(4&lt;=Beheer!$C$4,MIN(OFFSET(Dashboard!$B$2,0,4,COUNTA(Beheer!$F$7:$F$66),1)),"")</f>
        <v>1</v>
      </c>
      <c r="Z11" s="67" t="str">
        <f ca="1">IF(4&lt;=Beheer!$C$4,REPT("█",ROUND(AVERAGE(OFFSET(Dashboard!$B$2,0,4,COUNTA(Beheer!$F$7:$F$66),1))/INDEX(Beheer!$B$7:$B$66,4)*20,0)),"")</f>
        <v>██████████</v>
      </c>
      <c r="AA11" s="116" t="str">
        <f ca="1">IF(4&lt;=Beheer!$C$4,TEXT(COUNTIF(OFFSET(Dashboard!$B$2,0,4,COUNTA(Beheer!$F$7:$F$66),1),INDEX(Beheer!$B$7:$B$66,4))/COUNTA(Beheer!$F$7:$F$66),"0%"),"")</f>
        <v>12%</v>
      </c>
      <c r="AB11" s="6"/>
      <c r="AC11" s="6"/>
      <c r="AD11" s="6"/>
      <c r="AE11" s="6"/>
      <c r="AF11" s="6"/>
      <c r="AG11" s="6"/>
      <c r="AH11" s="6"/>
      <c r="AI11" s="6"/>
      <c r="AJ11" s="6"/>
      <c r="AK11" s="6"/>
      <c r="AL11" s="6"/>
      <c r="AM11" s="6"/>
      <c r="AN11" s="6"/>
      <c r="AO11" s="6"/>
      <c r="AP11" s="6"/>
      <c r="AQ11" s="6"/>
      <c r="AR11" s="6"/>
      <c r="AS11" s="6"/>
      <c r="AT11" s="6"/>
      <c r="AU11" s="6"/>
      <c r="AV11" s="6"/>
      <c r="AW11" s="6"/>
      <c r="AX11" s="6"/>
      <c r="AY11" s="6"/>
      <c r="AZ11" s="6"/>
    </row>
    <row r="12" spans="1:52" ht="18" customHeight="1" x14ac:dyDescent="0.55000000000000004">
      <c r="A12" s="46"/>
      <c r="B12" s="56" t="s">
        <v>32</v>
      </c>
      <c r="C12" s="2"/>
      <c r="D12" s="2"/>
      <c r="E12" s="2"/>
      <c r="F12" s="2"/>
      <c r="G12" s="2"/>
      <c r="H12" s="2"/>
      <c r="I12" s="2"/>
      <c r="J12" s="51"/>
      <c r="K12" s="6"/>
      <c r="L12" s="56" t="s">
        <v>42</v>
      </c>
      <c r="M12" s="2"/>
      <c r="N12" s="2"/>
      <c r="O12" s="2"/>
      <c r="P12" s="2"/>
      <c r="Q12" s="2"/>
      <c r="R12" s="2"/>
      <c r="S12" s="2"/>
      <c r="T12" s="51"/>
      <c r="U12" s="46"/>
      <c r="V12" s="120" t="str">
        <f>IF(5&lt;=Beheer!$C$4,"R5","")</f>
        <v>R5</v>
      </c>
      <c r="W12" s="54">
        <f ca="1">IF(5&lt;=Beheer!$C$4,ROUND(AVERAGE(OFFSET(Dashboard!$B$2,0,5,COUNTA(Beheer!$F$7:$F$66),1)),1),"")</f>
        <v>6.3</v>
      </c>
      <c r="X12" s="108">
        <f ca="1">IF(5&lt;=Beheer!$C$4,MAX(OFFSET(Dashboard!$B$2,0,5,COUNTA(Beheer!$F$7:$F$66),1)),"")</f>
        <v>10</v>
      </c>
      <c r="Y12" s="109">
        <f ca="1">IF(5&lt;=Beheer!$C$4,MIN(OFFSET(Dashboard!$B$2,0,5,COUNTA(Beheer!$F$7:$F$66),1)),"")</f>
        <v>1</v>
      </c>
      <c r="Z12" s="66" t="str">
        <f ca="1">IF(5&lt;=Beheer!$C$4,REPT("█",ROUND(AVERAGE(OFFSET(Dashboard!$B$2,0,5,COUNTA(Beheer!$F$7:$F$66),1))/INDEX(Beheer!$B$7:$B$66,5)*20,0)),"")</f>
        <v>█████████████</v>
      </c>
      <c r="AA12" s="116" t="str">
        <f ca="1">IF(5&lt;=Beheer!$C$4,TEXT(COUNTIF(OFFSET(Dashboard!$B$2,0,5,COUNTA(Beheer!$F$7:$F$66),1),INDEX(Beheer!$B$7:$B$66,5))/COUNTA(Beheer!$F$7:$F$66),"0%"),"")</f>
        <v>16%</v>
      </c>
      <c r="AB12" s="6"/>
      <c r="AC12" s="6"/>
      <c r="AD12" s="6"/>
      <c r="AE12" s="6"/>
      <c r="AF12" s="6"/>
      <c r="AG12" s="6"/>
      <c r="AH12" s="6"/>
      <c r="AI12" s="6"/>
      <c r="AJ12" s="6"/>
      <c r="AK12" s="6"/>
      <c r="AL12" s="6"/>
      <c r="AM12" s="6"/>
      <c r="AN12" s="6"/>
      <c r="AO12" s="6"/>
      <c r="AP12" s="6"/>
      <c r="AQ12" s="6"/>
      <c r="AR12" s="6"/>
      <c r="AS12" s="6"/>
      <c r="AT12" s="6"/>
      <c r="AU12" s="6"/>
      <c r="AV12" s="6"/>
      <c r="AW12" s="6"/>
      <c r="AX12" s="6"/>
      <c r="AY12" s="6"/>
      <c r="AZ12" s="6"/>
    </row>
    <row r="13" spans="1:52" ht="18" customHeight="1" x14ac:dyDescent="0.45">
      <c r="A13" s="46"/>
      <c r="B13" s="58" t="s">
        <v>33</v>
      </c>
      <c r="C13" s="2"/>
      <c r="D13" s="2"/>
      <c r="E13" s="2"/>
      <c r="F13" s="2"/>
      <c r="G13" s="2"/>
      <c r="H13" s="2"/>
      <c r="I13" s="59"/>
      <c r="J13" s="63" t="str">
        <f>MAX(Dashboard!C2:AF61)&amp;" pnt"</f>
        <v>20 pnt</v>
      </c>
      <c r="K13" s="6"/>
      <c r="L13" s="58" t="s">
        <v>43</v>
      </c>
      <c r="M13" s="2"/>
      <c r="N13" s="2"/>
      <c r="O13" s="2"/>
      <c r="P13" s="2"/>
      <c r="Q13" s="2"/>
      <c r="R13" s="59"/>
      <c r="S13" s="2"/>
      <c r="T13" s="63" t="str">
        <f>MAX(Dashboard!AG2:AG61)&amp;" pnt"</f>
        <v>96 pnt</v>
      </c>
      <c r="U13" s="46"/>
      <c r="V13" s="120" t="str">
        <f>IF(6&lt;=Beheer!$C$4,"R6","")</f>
        <v>R6</v>
      </c>
      <c r="W13" s="53">
        <f ca="1">IF(6&lt;=Beheer!$C$4,ROUND(AVERAGE(OFFSET(Dashboard!$B$2,0,6,COUNTA(Beheer!$F$7:$F$66),1)),1),"")</f>
        <v>5.7</v>
      </c>
      <c r="X13" s="110">
        <f ca="1">IF(6&lt;=Beheer!$C$4,MAX(OFFSET(Dashboard!$B$2,0,6,COUNTA(Beheer!$F$7:$F$66),1)),"")</f>
        <v>10</v>
      </c>
      <c r="Y13" s="111">
        <f ca="1">IF(6&lt;=Beheer!$C$4,MIN(OFFSET(Dashboard!$B$2,0,6,COUNTA(Beheer!$F$7:$F$66),1)),"")</f>
        <v>1</v>
      </c>
      <c r="Z13" s="67" t="str">
        <f ca="1">IF(6&lt;=Beheer!$C$4,REPT("█",ROUND(AVERAGE(OFFSET(Dashboard!$B$2,0,6,COUNTA(Beheer!$F$7:$F$66),1))/INDEX(Beheer!$B$7:$B$66,6)*20,0)),"")</f>
        <v>███████████</v>
      </c>
      <c r="AA13" s="116" t="str">
        <f ca="1">IF(6&lt;=Beheer!$C$4,TEXT(COUNTIF(OFFSET(Dashboard!$B$2,0,6,COUNTA(Beheer!$F$7:$F$66),1),INDEX(Beheer!$B$7:$B$66,6))/COUNTA(Beheer!$F$7:$F$66),"0%"),"")</f>
        <v>12%</v>
      </c>
      <c r="AB13" s="6"/>
      <c r="AC13" s="6"/>
      <c r="AD13" s="6"/>
      <c r="AE13" s="6"/>
      <c r="AF13" s="6"/>
      <c r="AG13" s="6"/>
      <c r="AH13" s="6"/>
      <c r="AI13" s="6"/>
      <c r="AJ13" s="6"/>
      <c r="AK13" s="6"/>
      <c r="AL13" s="6"/>
      <c r="AM13" s="6"/>
      <c r="AN13" s="6"/>
      <c r="AO13" s="6"/>
      <c r="AP13" s="6"/>
      <c r="AQ13" s="6"/>
      <c r="AR13" s="6"/>
      <c r="AS13" s="6"/>
      <c r="AT13" s="6"/>
      <c r="AU13" s="6"/>
      <c r="AV13" s="6"/>
      <c r="AW13" s="6"/>
      <c r="AX13" s="6"/>
      <c r="AY13" s="6"/>
      <c r="AZ13" s="6"/>
    </row>
    <row r="14" spans="1:52" ht="18" customHeight="1" x14ac:dyDescent="0.45">
      <c r="A14" s="46"/>
      <c r="B14" s="61" t="s">
        <v>34</v>
      </c>
      <c r="C14" s="60"/>
      <c r="D14" s="60"/>
      <c r="E14" s="60"/>
      <c r="F14" s="60"/>
      <c r="G14" s="60"/>
      <c r="H14" s="60"/>
      <c r="I14" s="62"/>
      <c r="J14" s="65" t="str">
        <f>MIN(Dashboard!C2:AF61)&amp;" pnt"</f>
        <v>1 pnt</v>
      </c>
      <c r="K14" s="6"/>
      <c r="L14" s="61" t="s">
        <v>44</v>
      </c>
      <c r="M14" s="60"/>
      <c r="N14" s="60"/>
      <c r="O14" s="60"/>
      <c r="P14" s="60"/>
      <c r="Q14" s="60"/>
      <c r="R14" s="62"/>
      <c r="S14" s="60"/>
      <c r="T14" s="65" t="str">
        <f>MIN(Dashboard!AG2:AG61)&amp;" pnt"</f>
        <v>49 pnt</v>
      </c>
      <c r="U14" s="46"/>
      <c r="V14" s="120" t="str">
        <f>IF(7&lt;=Beheer!$C$4,"R7","")</f>
        <v>R7</v>
      </c>
      <c r="W14" s="54">
        <f ca="1">IF(7&lt;=Beheer!$C$4,ROUND(AVERAGE(OFFSET(Dashboard!$B$2,0,7,COUNTA(Beheer!$F$7:$F$66),1)),1),"")</f>
        <v>5.9</v>
      </c>
      <c r="X14" s="108">
        <f ca="1">IF(7&lt;=Beheer!$C$4,MAX(OFFSET(Dashboard!$B$2,0,7,COUNTA(Beheer!$F$7:$F$66),1)),"")</f>
        <v>10</v>
      </c>
      <c r="Y14" s="109">
        <f ca="1">IF(7&lt;=Beheer!$C$4,MIN(OFFSET(Dashboard!$B$2,0,7,COUNTA(Beheer!$F$7:$F$66),1)),"")</f>
        <v>2</v>
      </c>
      <c r="Z14" s="66" t="str">
        <f ca="1">IF(7&lt;=Beheer!$C$4,REPT("█",ROUND(AVERAGE(OFFSET(Dashboard!$B$2,0,7,COUNTA(Beheer!$F$7:$F$66),1))/INDEX(Beheer!$B$7:$B$66,7)*20,0)),"")</f>
        <v>████████████</v>
      </c>
      <c r="AA14" s="116" t="str">
        <f ca="1">IF(7&lt;=Beheer!$C$4,TEXT(COUNTIF(OFFSET(Dashboard!$B$2,0,7,COUNTA(Beheer!$F$7:$F$66),1),INDEX(Beheer!$B$7:$B$66,7))/COUNTA(Beheer!$F$7:$F$66),"0%"),"")</f>
        <v>8%</v>
      </c>
      <c r="AB14" s="6"/>
      <c r="AC14" s="6"/>
      <c r="AD14" s="6"/>
      <c r="AE14" s="6"/>
      <c r="AF14" s="6"/>
      <c r="AG14" s="6"/>
      <c r="AH14" s="6"/>
      <c r="AI14" s="6"/>
      <c r="AJ14" s="6"/>
      <c r="AK14" s="6"/>
      <c r="AL14" s="6"/>
      <c r="AM14" s="6"/>
      <c r="AN14" s="6"/>
      <c r="AO14" s="6"/>
      <c r="AP14" s="6"/>
      <c r="AQ14" s="6"/>
      <c r="AR14" s="6"/>
      <c r="AS14" s="6"/>
      <c r="AT14" s="6"/>
      <c r="AU14" s="6"/>
      <c r="AV14" s="6"/>
      <c r="AW14" s="6"/>
      <c r="AX14" s="6"/>
      <c r="AY14" s="6"/>
      <c r="AZ14" s="6"/>
    </row>
    <row r="15" spans="1:52" ht="18" customHeight="1" x14ac:dyDescent="0.45">
      <c r="A15" s="46"/>
      <c r="B15" s="58" t="s">
        <v>35</v>
      </c>
      <c r="C15" s="2"/>
      <c r="D15" s="2"/>
      <c r="E15" s="2"/>
      <c r="F15" s="2"/>
      <c r="G15" s="2"/>
      <c r="H15" s="2"/>
      <c r="I15" s="59"/>
      <c r="J15" s="63" t="str">
        <f>ROUND(MEDIAN(Dashboard!C2:AF61),1)&amp;" pnt"</f>
        <v>6 pnt</v>
      </c>
      <c r="K15" s="6"/>
      <c r="L15" s="58" t="s">
        <v>45</v>
      </c>
      <c r="M15" s="2"/>
      <c r="N15" s="2"/>
      <c r="O15" s="2"/>
      <c r="P15" s="2"/>
      <c r="Q15" s="2"/>
      <c r="R15" s="59"/>
      <c r="S15" s="2"/>
      <c r="T15" s="63" t="str">
        <f>ROUND(AVERAGE(Dashboard!AG2:AG61),1)&amp;" pnt"</f>
        <v>72,1 pnt</v>
      </c>
      <c r="U15" s="46"/>
      <c r="V15" s="120" t="str">
        <f>IF(8&lt;=Beheer!$C$4,"R8","")</f>
        <v>R8</v>
      </c>
      <c r="W15" s="53">
        <f ca="1">IF(8&lt;=Beheer!$C$4,ROUND(AVERAGE(OFFSET(Dashboard!$B$2,0,8,COUNTA(Beheer!$F$7:$F$66),1)),1),"")</f>
        <v>8.1</v>
      </c>
      <c r="X15" s="110">
        <f ca="1">IF(8&lt;=Beheer!$C$4,MAX(OFFSET(Dashboard!$B$2,0,8,COUNTA(Beheer!$F$7:$F$66),1)),"")</f>
        <v>15</v>
      </c>
      <c r="Y15" s="111">
        <f ca="1">IF(8&lt;=Beheer!$C$4,MIN(OFFSET(Dashboard!$B$2,0,8,COUNTA(Beheer!$F$7:$F$66),1)),"")</f>
        <v>2</v>
      </c>
      <c r="Z15" s="67" t="str">
        <f ca="1">IF(8&lt;=Beheer!$C$4,REPT("█",ROUND(AVERAGE(OFFSET(Dashboard!$B$2,0,8,COUNTA(Beheer!$F$7:$F$66),1))/INDEX(Beheer!$B$7:$B$66,8)*20,0)),"")</f>
        <v>███████████</v>
      </c>
      <c r="AA15" s="116" t="str">
        <f ca="1">IF(8&lt;=Beheer!$C$4,TEXT(COUNTIF(OFFSET(Dashboard!$B$2,0,8,COUNTA(Beheer!$F$7:$F$66),1),INDEX(Beheer!$B$7:$B$66,8))/COUNTA(Beheer!$F$7:$F$66),"0%"),"")</f>
        <v>4%</v>
      </c>
      <c r="AB15" s="6"/>
      <c r="AC15" s="6"/>
      <c r="AD15" s="6"/>
      <c r="AE15" s="6"/>
      <c r="AF15" s="6"/>
      <c r="AG15" s="6"/>
      <c r="AH15" s="6"/>
      <c r="AI15" s="6"/>
      <c r="AJ15" s="6"/>
      <c r="AK15" s="6"/>
      <c r="AL15" s="6"/>
      <c r="AM15" s="6"/>
      <c r="AN15" s="6"/>
      <c r="AO15" s="6"/>
      <c r="AP15" s="6"/>
      <c r="AQ15" s="6"/>
      <c r="AR15" s="6"/>
      <c r="AS15" s="6"/>
      <c r="AT15" s="6"/>
      <c r="AU15" s="6"/>
      <c r="AV15" s="6"/>
      <c r="AW15" s="6"/>
      <c r="AX15" s="6"/>
      <c r="AY15" s="6"/>
      <c r="AZ15" s="6"/>
    </row>
    <row r="16" spans="1:52" ht="18" customHeight="1" x14ac:dyDescent="0.45">
      <c r="A16" s="46"/>
      <c r="B16" s="61" t="s">
        <v>36</v>
      </c>
      <c r="C16" s="60"/>
      <c r="D16" s="60"/>
      <c r="E16" s="60"/>
      <c r="F16" s="60"/>
      <c r="G16" s="60"/>
      <c r="H16" s="60"/>
      <c r="I16" s="62"/>
      <c r="J16" s="65">
        <f>ROUND(STDEV(Dashboard!C2:AF61),2)</f>
        <v>3.58</v>
      </c>
      <c r="K16" s="6"/>
      <c r="L16" s="61" t="s">
        <v>46</v>
      </c>
      <c r="M16" s="60"/>
      <c r="N16" s="60"/>
      <c r="O16" s="60"/>
      <c r="P16" s="60"/>
      <c r="Q16" s="60"/>
      <c r="R16" s="62"/>
      <c r="S16" s="60"/>
      <c r="T16" s="65" t="str">
        <f>(MAX(Dashboard!AG2:AG61)-MIN(Dashboard!AG2:AG61))&amp;" pnt"</f>
        <v>47 pnt</v>
      </c>
      <c r="U16" s="46"/>
      <c r="V16" s="120" t="str">
        <f>IF(9&lt;=Beheer!$C$4,"R9","")</f>
        <v>R9</v>
      </c>
      <c r="W16" s="54">
        <f ca="1">IF(9&lt;=Beheer!$C$4,ROUND(AVERAGE(OFFSET(Dashboard!$B$2,0,9,COUNTA(Beheer!$F$7:$F$66),1)),1),"")</f>
        <v>4.8</v>
      </c>
      <c r="X16" s="108">
        <f ca="1">IF(9&lt;=Beheer!$C$4,MAX(OFFSET(Dashboard!$B$2,0,9,COUNTA(Beheer!$F$7:$F$66),1)),"")</f>
        <v>10</v>
      </c>
      <c r="Y16" s="109">
        <f ca="1">IF(9&lt;=Beheer!$C$4,MIN(OFFSET(Dashboard!$B$2,0,9,COUNTA(Beheer!$F$7:$F$66),1)),"")</f>
        <v>1</v>
      </c>
      <c r="Z16" s="66" t="str">
        <f ca="1">IF(9&lt;=Beheer!$C$4,REPT("█",ROUND(AVERAGE(OFFSET(Dashboard!$B$2,0,9,COUNTA(Beheer!$F$7:$F$66),1))/INDEX(Beheer!$B$7:$B$66,9)*20,0)),"")</f>
        <v>██████████</v>
      </c>
      <c r="AA16" s="116" t="str">
        <f ca="1">IF(9&lt;=Beheer!$C$4,TEXT(COUNTIF(OFFSET(Dashboard!$B$2,0,9,COUNTA(Beheer!$F$7:$F$66),1),INDEX(Beheer!$B$7:$B$66,9))/COUNTA(Beheer!$F$7:$F$66),"0%"),"")</f>
        <v>4%</v>
      </c>
      <c r="AB16" s="6"/>
      <c r="AC16" s="6"/>
      <c r="AD16" s="6"/>
      <c r="AE16" s="6"/>
      <c r="AF16" s="6"/>
      <c r="AG16" s="6"/>
      <c r="AH16" s="6"/>
      <c r="AI16" s="6"/>
      <c r="AJ16" s="6"/>
      <c r="AK16" s="6"/>
      <c r="AL16" s="6"/>
      <c r="AM16" s="6"/>
      <c r="AN16" s="6"/>
      <c r="AO16" s="6"/>
      <c r="AP16" s="6"/>
      <c r="AQ16" s="6"/>
      <c r="AR16" s="6"/>
      <c r="AS16" s="6"/>
      <c r="AT16" s="6"/>
      <c r="AU16" s="6"/>
      <c r="AV16" s="6"/>
      <c r="AW16" s="6"/>
      <c r="AX16" s="6"/>
      <c r="AY16" s="6"/>
      <c r="AZ16" s="6"/>
    </row>
    <row r="17" spans="1:52" ht="18" customHeight="1" x14ac:dyDescent="0.45">
      <c r="A17" s="46"/>
      <c r="B17" s="58" t="s">
        <v>37</v>
      </c>
      <c r="C17" s="2"/>
      <c r="D17" s="2"/>
      <c r="E17" s="2"/>
      <c r="F17" s="2"/>
      <c r="G17" s="2"/>
      <c r="H17" s="2"/>
      <c r="I17" s="59"/>
      <c r="J17" s="63">
        <f>IF(1&lt;=Beheer!$C$4,COUNTIF(Dashboard!C2:C61,Beheer!$B$7),0)+IF(2&lt;=Beheer!$C$4,COUNTIF(Dashboard!D2:D61,Beheer!$B$8),0)+IF(3&lt;=Beheer!$C$4,COUNTIF(Dashboard!E2:E61,Beheer!$B$9),0)+IF(4&lt;=Beheer!$C$4,COUNTIF(Dashboard!F2:F61,Beheer!$B$10),0)+IF(5&lt;=Beheer!$C$4,COUNTIF(Dashboard!G2:G61,Beheer!$B$11),0)+IF(6&lt;=Beheer!$C$4,COUNTIF(Dashboard!H2:H61,Beheer!$B$12),0)+IF(7&lt;=Beheer!$C$4,COUNTIF(Dashboard!I2:I61,Beheer!$B$13),0)+IF(8&lt;=Beheer!$C$4,COUNTIF(Dashboard!J2:J61,Beheer!$B$14),0)+IF(9&lt;=Beheer!$C$4,COUNTIF(Dashboard!K2:K61,Beheer!$B$15),0)+IF(10&lt;=Beheer!$C$4,COUNTIF(Dashboard!L2:L61,Beheer!$B$16),0)+IF(11&lt;=Beheer!$C$4,COUNTIF(Dashboard!M2:M61,Beheer!$B$17),0)+IF(12&lt;=Beheer!$C$4,COUNTIF(Dashboard!N2:N61,Beheer!$B$18),0)+IF(13&lt;=Beheer!$C$4,COUNTIF(Dashboard!O2:O61,Beheer!$B$19),0)+IF(14&lt;=Beheer!$C$4,COUNTIF(Dashboard!P2:P61,Beheer!$B$20),0)+IF(15&lt;=Beheer!$C$4,COUNTIF(Dashboard!Q2:Q61,Beheer!$B$21),0)+IF(16&lt;=Beheer!$C$4,COUNTIF(Dashboard!R2:R61,Beheer!$B$22),0)+IF(17&lt;=Beheer!$C$4,COUNTIF(Dashboard!S2:S61,Beheer!$B$23),0)+IF(18&lt;=Beheer!$C$4,COUNTIF(Dashboard!T2:T61,Beheer!$B$24),0)+IF(19&lt;=Beheer!$C$4,COUNTIF(Dashboard!U2:U61,Beheer!$B$25),0)+IF(20&lt;=Beheer!$C$4,COUNTIF(Dashboard!V2:V61,Beheer!$B$26),0)+IF(21&lt;=Beheer!$C$4,COUNTIF(Dashboard!W2:W61,Beheer!$B$27),0)+IF(22&lt;=Beheer!$C$4,COUNTIF(Dashboard!X2:X61,Beheer!$B$28),0)+IF(23&lt;=Beheer!$C$4,COUNTIF(Dashboard!Y2:Y61,Beheer!$B$29),0)+IF(24&lt;=Beheer!$C$4,COUNTIF(Dashboard!Z2:Z61,Beheer!$B$30),0)+IF(25&lt;=Beheer!$C$4,COUNTIF(Dashboard!AA2:AA61,Beheer!$B$31),0)+IF(26&lt;=Beheer!$C$4,COUNTIF(Dashboard!AB2:AB61,Beheer!$B$32),0)+IF(27&lt;=Beheer!$C$4,COUNTIF(Dashboard!AC2:AC61,Beheer!$B$33),0)+IF(28&lt;=Beheer!$C$4,COUNTIF(Dashboard!AD2:AD61,Beheer!$B$34),0)+IF(29&lt;=Beheer!$C$4,COUNTIF(Dashboard!AE2:AE61,Beheer!$B$35),0)+IF(30&lt;=Beheer!$C$4,COUNTIF(Dashboard!AF2:AF61,Beheer!$B$36),0)</f>
        <v>31</v>
      </c>
      <c r="K17" s="6"/>
      <c r="L17" s="58" t="s">
        <v>47</v>
      </c>
      <c r="M17" s="2"/>
      <c r="N17" s="2"/>
      <c r="O17" s="2"/>
      <c r="P17" s="2"/>
      <c r="Q17" s="2"/>
      <c r="R17" s="59"/>
      <c r="S17" s="2"/>
      <c r="T17" s="63">
        <f>ROUND(STDEV(Dashboard!AG2:AG61),2)</f>
        <v>10.75</v>
      </c>
      <c r="U17" s="46"/>
      <c r="V17" s="120" t="str">
        <f>IF(10&lt;=Beheer!$C$4,"R10","")</f>
        <v>R10</v>
      </c>
      <c r="W17" s="53">
        <f ca="1">IF(10&lt;=Beheer!$C$4,ROUND(AVERAGE(OFFSET(Dashboard!$B$2,0,10,COUNTA(Beheer!$F$7:$F$66),1)),1),"")</f>
        <v>5.6</v>
      </c>
      <c r="X17" s="110">
        <f ca="1">IF(10&lt;=Beheer!$C$4,MAX(OFFSET(Dashboard!$B$2,0,10,COUNTA(Beheer!$F$7:$F$66),1)),"")</f>
        <v>10</v>
      </c>
      <c r="Y17" s="111">
        <f ca="1">IF(10&lt;=Beheer!$C$4,MIN(OFFSET(Dashboard!$B$2,0,10,COUNTA(Beheer!$F$7:$F$66),1)),"")</f>
        <v>1</v>
      </c>
      <c r="Z17" s="67" t="str">
        <f ca="1">IF(10&lt;=Beheer!$C$4,REPT("█",ROUND(AVERAGE(OFFSET(Dashboard!$B$2,0,10,COUNTA(Beheer!$F$7:$F$66),1))/INDEX(Beheer!$B$7:$B$66,10)*20,0)),"")</f>
        <v>███████████</v>
      </c>
      <c r="AA17" s="116" t="str">
        <f ca="1">IF(10&lt;=Beheer!$C$4,TEXT(COUNTIF(OFFSET(Dashboard!$B$2,0,10,COUNTA(Beheer!$F$7:$F$66),1),INDEX(Beheer!$B$7:$B$66,10))/COUNTA(Beheer!$F$7:$F$66),"0%"),"")</f>
        <v>4%</v>
      </c>
      <c r="AB17" s="6"/>
      <c r="AC17" s="6"/>
      <c r="AD17" s="6"/>
      <c r="AE17" s="6"/>
      <c r="AF17" s="6"/>
      <c r="AG17" s="6"/>
      <c r="AH17" s="6"/>
      <c r="AI17" s="6"/>
      <c r="AJ17" s="6"/>
      <c r="AK17" s="6"/>
      <c r="AL17" s="6"/>
      <c r="AM17" s="6"/>
      <c r="AN17" s="6"/>
      <c r="AO17" s="6"/>
      <c r="AP17" s="6"/>
      <c r="AQ17" s="6"/>
      <c r="AR17" s="6"/>
      <c r="AS17" s="6"/>
      <c r="AT17" s="6"/>
      <c r="AU17" s="6"/>
      <c r="AV17" s="6"/>
      <c r="AW17" s="6"/>
      <c r="AX17" s="6"/>
      <c r="AY17" s="6"/>
      <c r="AZ17" s="6"/>
    </row>
    <row r="18" spans="1:52" ht="18" customHeight="1" x14ac:dyDescent="0.45">
      <c r="A18" s="46"/>
      <c r="B18" s="61" t="s">
        <v>38</v>
      </c>
      <c r="C18" s="60"/>
      <c r="D18" s="60"/>
      <c r="E18" s="60"/>
      <c r="F18" s="60"/>
      <c r="G18" s="60"/>
      <c r="H18" s="60"/>
      <c r="I18" s="62"/>
      <c r="J18" s="65">
        <f>IF(1&lt;=Beheer!$C$4,COUNTIF(Dashboard!C2:C61,0),0)+IF(2&lt;=Beheer!$C$4,COUNTIF(Dashboard!D2:D61,0),0)+IF(3&lt;=Beheer!$C$4,COUNTIF(Dashboard!E2:E61,0),0)+IF(4&lt;=Beheer!$C$4,COUNTIF(Dashboard!F2:F61,0),0)+IF(5&lt;=Beheer!$C$4,COUNTIF(Dashboard!G2:G61,0),0)+IF(6&lt;=Beheer!$C$4,COUNTIF(Dashboard!H2:H61,0),0)+IF(7&lt;=Beheer!$C$4,COUNTIF(Dashboard!I2:I61,0),0)+IF(8&lt;=Beheer!$C$4,COUNTIF(Dashboard!J2:J61,0),0)+IF(9&lt;=Beheer!$C$4,COUNTIF(Dashboard!K2:K61,0),0)+IF(10&lt;=Beheer!$C$4,COUNTIF(Dashboard!L2:L61,0),0)+IF(11&lt;=Beheer!$C$4,COUNTIF(Dashboard!M2:M61,0),0)+IF(12&lt;=Beheer!$C$4,COUNTIF(Dashboard!N2:N61,0),0)+IF(13&lt;=Beheer!$C$4,COUNTIF(Dashboard!O2:O61,0),0)+IF(14&lt;=Beheer!$C$4,COUNTIF(Dashboard!P2:P61,0),0)+IF(15&lt;=Beheer!$C$4,COUNTIF(Dashboard!Q2:Q61,0),0)+IF(16&lt;=Beheer!$C$4,COUNTIF(Dashboard!R2:R61,0),0)+IF(17&lt;=Beheer!$C$4,COUNTIF(Dashboard!S2:S61,0),0)+IF(18&lt;=Beheer!$C$4,COUNTIF(Dashboard!T2:T61,0),0)+IF(19&lt;=Beheer!$C$4,COUNTIF(Dashboard!U2:U61,0),0)+IF(20&lt;=Beheer!$C$4,COUNTIF(Dashboard!V2:V61,0),0)+IF(21&lt;=Beheer!$C$4,COUNTIF(Dashboard!W2:W61,0),0)+IF(22&lt;=Beheer!$C$4,COUNTIF(Dashboard!X2:X61,0),0)+IF(23&lt;=Beheer!$C$4,COUNTIF(Dashboard!Y2:Y61,0),0)+IF(24&lt;=Beheer!$C$4,COUNTIF(Dashboard!Z2:Z61,0),0)+IF(25&lt;=Beheer!$C$4,COUNTIF(Dashboard!AA2:AA61,0),0)+IF(26&lt;=Beheer!$C$4,COUNTIF(Dashboard!AB2:AB61,0),0)+IF(27&lt;=Beheer!$C$4,COUNTIF(Dashboard!AC2:AC61,0),0)+IF(28&lt;=Beheer!$C$4,COUNTIF(Dashboard!AD2:AD61,0),0)+IF(29&lt;=Beheer!$C$4,COUNTIF(Dashboard!AE2:AE61,0),0)+IF(30&lt;=Beheer!$C$4,COUNTIF(Dashboard!AF2:AF61,0),0)</f>
        <v>0</v>
      </c>
      <c r="K18" s="6"/>
      <c r="L18" s="61" t="s">
        <v>48</v>
      </c>
      <c r="M18" s="60"/>
      <c r="N18" s="60"/>
      <c r="O18" s="60"/>
      <c r="P18" s="60"/>
      <c r="Q18" s="60"/>
      <c r="R18" s="62"/>
      <c r="S18" s="60"/>
      <c r="T18" s="65">
        <f>COUNTIF(Dashboard!AG2:AG61,"&gt;"&amp;AVERAGE(Dashboard!AG2:AG61))</f>
        <v>12</v>
      </c>
      <c r="U18" s="46"/>
      <c r="V18" s="120" t="str">
        <f>IF(11&lt;=Beheer!$C$4,"R11","")</f>
        <v>R11</v>
      </c>
      <c r="W18" s="54">
        <f ca="1">IF(11&lt;=Beheer!$C$4,ROUND(AVERAGE(OFFSET(Dashboard!$B$2,0,11,COUNTA(Beheer!$F$7:$F$66),1)),1),"")</f>
        <v>2.6</v>
      </c>
      <c r="X18" s="108">
        <f ca="1">IF(11&lt;=Beheer!$C$4,MAX(OFFSET(Dashboard!$B$2,0,11,COUNTA(Beheer!$F$7:$F$66),1)),"")</f>
        <v>5</v>
      </c>
      <c r="Y18" s="109">
        <f ca="1">IF(11&lt;=Beheer!$C$4,MIN(OFFSET(Dashboard!$B$2,0,11,COUNTA(Beheer!$F$7:$F$66),1)),"")</f>
        <v>1</v>
      </c>
      <c r="Z18" s="66" t="str">
        <f ca="1">IF(11&lt;=Beheer!$C$4,REPT("█",ROUND(AVERAGE(OFFSET(Dashboard!$B$2,0,11,COUNTA(Beheer!$F$7:$F$66),1))/INDEX(Beheer!$B$7:$B$66,11)*20,0)),"")</f>
        <v>███████████</v>
      </c>
      <c r="AA18" s="116" t="str">
        <f ca="1">IF(11&lt;=Beheer!$C$4,TEXT(COUNTIF(OFFSET(Dashboard!$B$2,0,11,COUNTA(Beheer!$F$7:$F$66),1),INDEX(Beheer!$B$7:$B$66,11))/COUNTA(Beheer!$F$7:$F$66),"0%"),"")</f>
        <v>12%</v>
      </c>
      <c r="AB18" s="6"/>
      <c r="AC18" s="6"/>
      <c r="AD18" s="6"/>
      <c r="AE18" s="6"/>
      <c r="AF18" s="6"/>
      <c r="AG18" s="6"/>
      <c r="AH18" s="6"/>
      <c r="AI18" s="6"/>
      <c r="AJ18" s="6"/>
      <c r="AK18" s="6"/>
      <c r="AL18" s="6"/>
      <c r="AM18" s="6"/>
      <c r="AN18" s="6"/>
      <c r="AO18" s="6"/>
      <c r="AP18" s="6"/>
      <c r="AQ18" s="6"/>
      <c r="AR18" s="6"/>
      <c r="AS18" s="6"/>
      <c r="AT18" s="6"/>
      <c r="AU18" s="6"/>
      <c r="AV18" s="6"/>
      <c r="AW18" s="6"/>
      <c r="AX18" s="6"/>
      <c r="AY18" s="6"/>
      <c r="AZ18" s="6"/>
    </row>
    <row r="19" spans="1:52" ht="18" customHeight="1" x14ac:dyDescent="0.45">
      <c r="A19" s="46"/>
      <c r="B19" s="58" t="s">
        <v>39</v>
      </c>
      <c r="C19" s="2"/>
      <c r="D19" s="2"/>
      <c r="E19" s="2"/>
      <c r="F19" s="2"/>
      <c r="G19" s="2"/>
      <c r="H19" s="2"/>
      <c r="I19" s="59"/>
      <c r="J19" s="63">
        <f>IF(1&lt;=Beheer!$C$4,COUNTIF(Dashboard!C2:C61,"&gt;="&amp;(0.8*Beheer!$B$7)),0)+IF(2&lt;=Beheer!$C$4,COUNTIF(Dashboard!D2:D61,"&gt;="&amp;(0.8*Beheer!$B$8)),0)+IF(3&lt;=Beheer!$C$4,COUNTIF(Dashboard!E2:E61,"&gt;="&amp;(0.8*Beheer!$B$9)),0)+IF(4&lt;=Beheer!$C$4,COUNTIF(Dashboard!F2:F61,"&gt;="&amp;(0.8*Beheer!$B$10)),0)+IF(5&lt;=Beheer!$C$4,COUNTIF(Dashboard!G2:G61,"&gt;="&amp;(0.8*Beheer!$B$11)),0)+IF(6&lt;=Beheer!$C$4,COUNTIF(Dashboard!H2:H61,"&gt;="&amp;(0.8*Beheer!$B$12)),0)+IF(7&lt;=Beheer!$C$4,COUNTIF(Dashboard!I2:I61,"&gt;="&amp;(0.8*Beheer!$B$13)),0)+IF(8&lt;=Beheer!$C$4,COUNTIF(Dashboard!J2:J61,"&gt;="&amp;(0.8*Beheer!$B$14)),0)+IF(9&lt;=Beheer!$C$4,COUNTIF(Dashboard!K2:K61,"&gt;="&amp;(0.8*Beheer!$B$15)),0)+IF(10&lt;=Beheer!$C$4,COUNTIF(Dashboard!L2:L61,"&gt;="&amp;(0.8*Beheer!$B$16)),0)+IF(11&lt;=Beheer!$C$4,COUNTIF(Dashboard!M2:M61,"&gt;="&amp;(0.8*Beheer!$B$17)),0)+IF(12&lt;=Beheer!$C$4,COUNTIF(Dashboard!N2:N61,"&gt;="&amp;(0.8*Beheer!$B$18)),0)+IF(13&lt;=Beheer!$C$4,COUNTIF(Dashboard!O2:O61,"&gt;="&amp;(0.8*Beheer!$B$19)),0)+IF(14&lt;=Beheer!$C$4,COUNTIF(Dashboard!P2:P61,"&gt;="&amp;(0.8*Beheer!$B$20)),0)+IF(15&lt;=Beheer!$C$4,COUNTIF(Dashboard!Q2:Q61,"&gt;="&amp;(0.8*Beheer!$B$21)),0)+IF(16&lt;=Beheer!$C$4,COUNTIF(Dashboard!R2:R61,"&gt;="&amp;(0.8*Beheer!$B$22)),0)+IF(17&lt;=Beheer!$C$4,COUNTIF(Dashboard!S2:S61,"&gt;="&amp;(0.8*Beheer!$B$23)),0)+IF(18&lt;=Beheer!$C$4,COUNTIF(Dashboard!T2:T61,"&gt;="&amp;(0.8*Beheer!$B$24)),0)+IF(19&lt;=Beheer!$C$4,COUNTIF(Dashboard!U2:U61,"&gt;="&amp;(0.8*Beheer!$B$25)),0)+IF(20&lt;=Beheer!$C$4,COUNTIF(Dashboard!V2:V61,"&gt;="&amp;(0.8*Beheer!$B$26)),0)+IF(21&lt;=Beheer!$C$4,COUNTIF(Dashboard!W2:W61,"&gt;="&amp;(0.8*Beheer!$B$27)),0)+IF(22&lt;=Beheer!$C$4,COUNTIF(Dashboard!X2:X61,"&gt;="&amp;(0.8*Beheer!$B$28)),0)+IF(23&lt;=Beheer!$C$4,COUNTIF(Dashboard!Y2:Y61,"&gt;="&amp;(0.8*Beheer!$B$29)),0)+IF(24&lt;=Beheer!$C$4,COUNTIF(Dashboard!Z2:Z61,"&gt;="&amp;(0.8*Beheer!$B$30)),0)+IF(25&lt;=Beheer!$C$4,COUNTIF(Dashboard!AA2:AA61,"&gt;="&amp;(0.8*Beheer!$B$31)),0)+IF(26&lt;=Beheer!$C$4,COUNTIF(Dashboard!AB2:AB61,"&gt;="&amp;(0.8*Beheer!$B$32)),0)+IF(27&lt;=Beheer!$C$4,COUNTIF(Dashboard!AC2:AC61,"&gt;="&amp;(0.8*Beheer!$B$33)),0)+IF(28&lt;=Beheer!$C$4,COUNTIF(Dashboard!AD2:AD61,"&gt;="&amp;(0.8*Beheer!$B$34)),0)+IF(29&lt;=Beheer!$C$4,COUNTIF(Dashboard!AE2:AE61,"&gt;="&amp;(0.8*Beheer!$B$35)),0)+IF(30&lt;=Beheer!$C$4,COUNTIF(Dashboard!AF2:AF61,"&gt;="&amp;(0.8*Beheer!$B$36)),0)</f>
        <v>96</v>
      </c>
      <c r="K19" s="6"/>
      <c r="L19" s="58" t="s">
        <v>49</v>
      </c>
      <c r="M19" s="2"/>
      <c r="N19" s="2"/>
      <c r="O19" s="2"/>
      <c r="P19" s="2"/>
      <c r="Q19" s="2"/>
      <c r="R19" s="59"/>
      <c r="S19" s="2"/>
      <c r="T19" s="63" t="str">
        <f>TEXT(MAX(Dashboard!AG2:AG61)/MAX(Dashboard!AH2:AH61),"0.0%")</f>
        <v>74%</v>
      </c>
      <c r="U19" s="46"/>
      <c r="V19" s="120" t="str">
        <f>IF(12&lt;=Beheer!$C$4,"R12","")</f>
        <v>R12</v>
      </c>
      <c r="W19" s="53">
        <f ca="1">IF(12&lt;=Beheer!$C$4,ROUND(AVERAGE(OFFSET(Dashboard!$B$2,0,12,COUNTA(Beheer!$F$7:$F$66),1)),1),"")</f>
        <v>6</v>
      </c>
      <c r="X19" s="110">
        <f ca="1">IF(12&lt;=Beheer!$C$4,MAX(OFFSET(Dashboard!$B$2,0,12,COUNTA(Beheer!$F$7:$F$66),1)),"")</f>
        <v>10</v>
      </c>
      <c r="Y19" s="111">
        <f ca="1">IF(12&lt;=Beheer!$C$4,MIN(OFFSET(Dashboard!$B$2,0,12,COUNTA(Beheer!$F$7:$F$66),1)),"")</f>
        <v>1</v>
      </c>
      <c r="Z19" s="67" t="str">
        <f ca="1">IF(12&lt;=Beheer!$C$4,REPT("█",ROUND(AVERAGE(OFFSET(Dashboard!$B$2,0,12,COUNTA(Beheer!$F$7:$F$66),1))/INDEX(Beheer!$B$7:$B$66,12)*20,0)),"")</f>
        <v>████████████</v>
      </c>
      <c r="AA19" s="116" t="str">
        <f ca="1">IF(12&lt;=Beheer!$C$4,TEXT(COUNTIF(OFFSET(Dashboard!$B$2,0,12,COUNTA(Beheer!$F$7:$F$66),1),INDEX(Beheer!$B$7:$B$66,12))/COUNTA(Beheer!$F$7:$F$66),"0%"),"")</f>
        <v>4%</v>
      </c>
      <c r="AB19" s="6"/>
      <c r="AC19" s="6"/>
      <c r="AD19" s="6"/>
      <c r="AE19" s="6"/>
      <c r="AF19" s="6"/>
      <c r="AG19" s="6"/>
      <c r="AH19" s="6"/>
      <c r="AI19" s="6"/>
      <c r="AJ19" s="6"/>
      <c r="AK19" s="6"/>
      <c r="AL19" s="6"/>
      <c r="AM19" s="6"/>
      <c r="AN19" s="6"/>
      <c r="AO19" s="6"/>
      <c r="AP19" s="6"/>
      <c r="AQ19" s="6"/>
      <c r="AR19" s="6"/>
      <c r="AS19" s="6"/>
      <c r="AT19" s="6"/>
      <c r="AU19" s="6"/>
      <c r="AV19" s="6"/>
      <c r="AW19" s="6"/>
      <c r="AX19" s="6"/>
      <c r="AY19" s="6"/>
      <c r="AZ19" s="6"/>
    </row>
    <row r="20" spans="1:52" ht="18" customHeight="1" x14ac:dyDescent="0.45">
      <c r="A20" s="46"/>
      <c r="B20" s="61" t="s">
        <v>40</v>
      </c>
      <c r="C20" s="60"/>
      <c r="D20" s="60"/>
      <c r="E20" s="60"/>
      <c r="F20" s="60"/>
      <c r="G20" s="60"/>
      <c r="H20" s="60"/>
      <c r="I20" s="62"/>
      <c r="J20" s="65">
        <f>IF(1&lt;=Beheer!$C$4,COUNTIF(Dashboard!C2:C61,"&lt;="&amp;(0.3*Beheer!$B$7)),0)+IF(2&lt;=Beheer!$C$4,COUNTIF(Dashboard!D2:D61,"&lt;="&amp;(0.3*Beheer!$B$8)),0)+IF(3&lt;=Beheer!$C$4,COUNTIF(Dashboard!E2:E61,"&lt;="&amp;(0.3*Beheer!$B$9)),0)+IF(4&lt;=Beheer!$C$4,COUNTIF(Dashboard!F2:F61,"&lt;="&amp;(0.3*Beheer!$B$10)),0)+IF(5&lt;=Beheer!$C$4,COUNTIF(Dashboard!G2:G61,"&lt;="&amp;(0.3*Beheer!$B$11)),0)+IF(6&lt;=Beheer!$C$4,COUNTIF(Dashboard!H2:H61,"&lt;="&amp;(0.3*Beheer!$B$12)),0)+IF(7&lt;=Beheer!$C$4,COUNTIF(Dashboard!I2:I61,"&lt;="&amp;(0.3*Beheer!$B$13)),0)+IF(8&lt;=Beheer!$C$4,COUNTIF(Dashboard!J2:J61,"&lt;="&amp;(0.3*Beheer!$B$14)),0)+IF(9&lt;=Beheer!$C$4,COUNTIF(Dashboard!K2:K61,"&lt;="&amp;(0.3*Beheer!$B$15)),0)+IF(10&lt;=Beheer!$C$4,COUNTIF(Dashboard!L2:L61,"&lt;="&amp;(0.3*Beheer!$B$16)),0)+IF(11&lt;=Beheer!$C$4,COUNTIF(Dashboard!M2:M61,"&lt;="&amp;(0.3*Beheer!$B$17)),0)+IF(12&lt;=Beheer!$C$4,COUNTIF(Dashboard!N2:N61,"&lt;="&amp;(0.3*Beheer!$B$18)),0)+IF(13&lt;=Beheer!$C$4,COUNTIF(Dashboard!O2:O61,"&lt;="&amp;(0.3*Beheer!$B$19)),0)+IF(14&lt;=Beheer!$C$4,COUNTIF(Dashboard!P2:P61,"&lt;="&amp;(0.3*Beheer!$B$20)),0)+IF(15&lt;=Beheer!$C$4,COUNTIF(Dashboard!Q2:Q61,"&lt;="&amp;(0.3*Beheer!$B$21)),0)+IF(16&lt;=Beheer!$C$4,COUNTIF(Dashboard!R2:R61,"&lt;="&amp;(0.3*Beheer!$B$22)),0)+IF(17&lt;=Beheer!$C$4,COUNTIF(Dashboard!S2:S61,"&lt;="&amp;(0.3*Beheer!$B$23)),0)+IF(18&lt;=Beheer!$C$4,COUNTIF(Dashboard!T2:T61,"&lt;="&amp;(0.3*Beheer!$B$24)),0)+IF(19&lt;=Beheer!$C$4,COUNTIF(Dashboard!U2:U61,"&lt;="&amp;(0.3*Beheer!$B$25)),0)+IF(20&lt;=Beheer!$C$4,COUNTIF(Dashboard!V2:V61,"&lt;="&amp;(0.3*Beheer!$B$26)),0)+IF(21&lt;=Beheer!$C$4,COUNTIF(Dashboard!W2:W61,"&lt;="&amp;(0.3*Beheer!$B$27)),0)+IF(22&lt;=Beheer!$C$4,COUNTIF(Dashboard!X2:X61,"&lt;="&amp;(0.3*Beheer!$B$28)),0)+IF(23&lt;=Beheer!$C$4,COUNTIF(Dashboard!Y2:Y61,"&lt;="&amp;(0.3*Beheer!$B$29)),0)+IF(24&lt;=Beheer!$C$4,COUNTIF(Dashboard!Z2:Z61,"&lt;="&amp;(0.3*Beheer!$B$30)),0)+IF(25&lt;=Beheer!$C$4,COUNTIF(Dashboard!AA2:AA61,"&lt;="&amp;(0.3*Beheer!$B$31)),0)+IF(26&lt;=Beheer!$C$4,COUNTIF(Dashboard!AB2:AB61,"&lt;="&amp;(0.3*Beheer!$B$32)),0)+IF(27&lt;=Beheer!$C$4,COUNTIF(Dashboard!AC2:AC61,"&lt;="&amp;(0.3*Beheer!$B$33)),0)+IF(28&lt;=Beheer!$C$4,COUNTIF(Dashboard!AD2:AD61,"&lt;="&amp;(0.3*Beheer!$B$34)),0)+IF(29&lt;=Beheer!$C$4,COUNTIF(Dashboard!AE2:AE61,"&lt;="&amp;(0.3*Beheer!$B$35)),0)+IF(30&lt;=Beheer!$C$4,COUNTIF(Dashboard!AF2:AF61,"&lt;="&amp;(0.3*Beheer!$B$36)),0)</f>
        <v>87</v>
      </c>
      <c r="K20" s="6"/>
      <c r="L20" s="61" t="s">
        <v>50</v>
      </c>
      <c r="M20" s="60"/>
      <c r="N20" s="60"/>
      <c r="O20" s="60"/>
      <c r="P20" s="60"/>
      <c r="Q20" s="60"/>
      <c r="R20" s="62"/>
      <c r="S20" s="60"/>
      <c r="T20" s="65" t="str">
        <f>TEXT(AVERAGE(Dashboard!AG2:AG61)/MAX(Dashboard!AH2:AH61),"0.0%")</f>
        <v>55%</v>
      </c>
      <c r="U20" s="46"/>
      <c r="V20" s="120" t="str">
        <f>IF(13&lt;=Beheer!$C$4,"R13","")</f>
        <v/>
      </c>
      <c r="W20" s="54" t="str">
        <f ca="1">IF(13&lt;=Beheer!$C$4,ROUND(AVERAGE(OFFSET(Dashboard!$B$2,0,13,COUNTA(Beheer!$F$7:$F$66),1)),1),"")</f>
        <v/>
      </c>
      <c r="X20" s="108" t="str">
        <f ca="1">IF(13&lt;=Beheer!$C$4,MAX(OFFSET(Dashboard!$B$2,0,13,COUNTA(Beheer!$F$7:$F$66),1)),"")</f>
        <v/>
      </c>
      <c r="Y20" s="109" t="str">
        <f ca="1">IF(13&lt;=Beheer!$C$4,MIN(OFFSET(Dashboard!$B$2,0,13,COUNTA(Beheer!$F$7:$F$66),1)),"")</f>
        <v/>
      </c>
      <c r="Z20" s="66" t="str">
        <f ca="1">IF(13&lt;=Beheer!$C$4,REPT("█",ROUND(AVERAGE(OFFSET(Dashboard!$B$2,0,13,COUNTA(Beheer!$F$7:$F$66),1))/INDEX(Beheer!$B$7:$B$66,13)*20,0)),"")</f>
        <v/>
      </c>
      <c r="AA20" s="116" t="str">
        <f ca="1">IF(13&lt;=Beheer!$C$4,TEXT(COUNTIF(OFFSET(Dashboard!$B$2,0,13,COUNTA(Beheer!$F$7:$F$66),1),INDEX(Beheer!$B$7:$B$66,13))/COUNTA(Beheer!$F$7:$F$66),"0%"),"")</f>
        <v/>
      </c>
      <c r="AB20" s="6"/>
      <c r="AC20" s="6"/>
      <c r="AD20" s="6"/>
      <c r="AE20" s="6"/>
      <c r="AF20" s="6"/>
      <c r="AG20" s="6"/>
      <c r="AH20" s="6"/>
      <c r="AI20" s="6"/>
      <c r="AJ20" s="6"/>
      <c r="AK20" s="6"/>
      <c r="AL20" s="6"/>
      <c r="AM20" s="6"/>
      <c r="AN20" s="6"/>
      <c r="AO20" s="6"/>
      <c r="AP20" s="6"/>
      <c r="AQ20" s="6"/>
      <c r="AR20" s="6"/>
      <c r="AS20" s="6"/>
      <c r="AT20" s="6"/>
      <c r="AU20" s="6"/>
      <c r="AV20" s="6"/>
      <c r="AW20" s="6"/>
      <c r="AX20" s="6"/>
      <c r="AY20" s="6"/>
      <c r="AZ20" s="6"/>
    </row>
    <row r="21" spans="1:52" ht="18" customHeight="1" x14ac:dyDescent="0.45">
      <c r="A21" s="46"/>
      <c r="B21" s="57"/>
      <c r="C21" s="50"/>
      <c r="D21" s="50"/>
      <c r="E21" s="50"/>
      <c r="F21" s="50"/>
      <c r="G21" s="50"/>
      <c r="H21" s="50"/>
      <c r="I21" s="50"/>
      <c r="J21" s="52"/>
      <c r="K21" s="6"/>
      <c r="L21" s="57"/>
      <c r="M21" s="50"/>
      <c r="N21" s="50"/>
      <c r="O21" s="50"/>
      <c r="P21" s="50"/>
      <c r="Q21" s="50"/>
      <c r="R21" s="50"/>
      <c r="S21" s="50"/>
      <c r="T21" s="52"/>
      <c r="U21" s="46"/>
      <c r="V21" s="120" t="str">
        <f>IF(14&lt;=Beheer!$C$4,"R14","")</f>
        <v/>
      </c>
      <c r="W21" s="53" t="str">
        <f ca="1">IF(14&lt;=Beheer!$C$4,ROUND(AVERAGE(OFFSET(Dashboard!$B$2,0,14,COUNTA(Beheer!$F$7:$F$66),1)),1),"")</f>
        <v/>
      </c>
      <c r="X21" s="110" t="str">
        <f ca="1">IF(14&lt;=Beheer!$C$4,MAX(OFFSET(Dashboard!$B$2,0,14,COUNTA(Beheer!$F$7:$F$66),1)),"")</f>
        <v/>
      </c>
      <c r="Y21" s="111" t="str">
        <f ca="1">IF(14&lt;=Beheer!$C$4,MIN(OFFSET(Dashboard!$B$2,0,14,COUNTA(Beheer!$F$7:$F$66),1)),"")</f>
        <v/>
      </c>
      <c r="Z21" s="67" t="str">
        <f ca="1">IF(14&lt;=Beheer!$C$4,REPT("█",ROUND(AVERAGE(OFFSET(Dashboard!$B$2,0,14,COUNTA(Beheer!$F$7:$F$66),1))/INDEX(Beheer!$B$7:$B$66,14)*20,0)),"")</f>
        <v/>
      </c>
      <c r="AA21" s="116" t="str">
        <f ca="1">IF(14&lt;=Beheer!$C$4,TEXT(COUNTIF(OFFSET(Dashboard!$B$2,0,14,COUNTA(Beheer!$F$7:$F$66),1),INDEX(Beheer!$B$7:$B$66,14))/COUNTA(Beheer!$F$7:$F$66),"0%"),"")</f>
        <v/>
      </c>
      <c r="AB21" s="6"/>
      <c r="AC21" s="6"/>
      <c r="AD21" s="6"/>
      <c r="AE21" s="6"/>
      <c r="AF21" s="6"/>
      <c r="AG21" s="6"/>
      <c r="AH21" s="6"/>
      <c r="AI21" s="6"/>
      <c r="AJ21" s="6"/>
      <c r="AK21" s="6"/>
      <c r="AL21" s="6"/>
      <c r="AM21" s="6"/>
      <c r="AN21" s="6"/>
      <c r="AO21" s="6"/>
      <c r="AP21" s="6"/>
      <c r="AQ21" s="6"/>
      <c r="AR21" s="6"/>
      <c r="AS21" s="6"/>
      <c r="AT21" s="6"/>
      <c r="AU21" s="6"/>
      <c r="AV21" s="6"/>
      <c r="AW21" s="6"/>
      <c r="AX21" s="6"/>
      <c r="AY21" s="6"/>
      <c r="AZ21" s="6"/>
    </row>
    <row r="22" spans="1:52" ht="18" customHeight="1" x14ac:dyDescent="0.45">
      <c r="A22" s="46"/>
      <c r="B22" s="6"/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  <c r="P22" s="6"/>
      <c r="Q22" s="6"/>
      <c r="R22" s="6"/>
      <c r="S22" s="6"/>
      <c r="T22" s="6"/>
      <c r="U22" s="46"/>
      <c r="V22" s="120" t="str">
        <f>IF(15&lt;=Beheer!$C$4,"R15","")</f>
        <v/>
      </c>
      <c r="W22" s="54" t="str">
        <f ca="1">IF(15&lt;=Beheer!$C$4,ROUND(AVERAGE(OFFSET(Dashboard!$B$2,0,15,COUNTA(Beheer!$F$7:$F$66),1)),1),"")</f>
        <v/>
      </c>
      <c r="X22" s="108" t="str">
        <f ca="1">IF(15&lt;=Beheer!$C$4,MAX(OFFSET(Dashboard!$B$2,0,15,COUNTA(Beheer!$F$7:$F$66),1)),"")</f>
        <v/>
      </c>
      <c r="Y22" s="109" t="str">
        <f ca="1">IF(15&lt;=Beheer!$C$4,MIN(OFFSET(Dashboard!$B$2,0,15,COUNTA(Beheer!$F$7:$F$66),1)),"")</f>
        <v/>
      </c>
      <c r="Z22" s="66" t="str">
        <f ca="1">IF(15&lt;=Beheer!$C$4,REPT("█",ROUND(AVERAGE(OFFSET(Dashboard!$B$2,0,15,COUNTA(Beheer!$F$7:$F$66),1))/INDEX(Beheer!$B$7:$B$66,15)*20,0)),"")</f>
        <v/>
      </c>
      <c r="AA22" s="116" t="str">
        <f ca="1">IF(15&lt;=Beheer!$C$4,TEXT(COUNTIF(OFFSET(Dashboard!$B$2,0,15,COUNTA(Beheer!$F$7:$F$66),1),INDEX(Beheer!$B$7:$B$66,15))/COUNTA(Beheer!$F$7:$F$66),"0%"),"")</f>
        <v/>
      </c>
      <c r="AB22" s="6"/>
      <c r="AC22" s="6"/>
      <c r="AD22" s="6"/>
      <c r="AE22" s="6"/>
      <c r="AF22" s="6"/>
      <c r="AG22" s="6"/>
      <c r="AH22" s="6"/>
      <c r="AI22" s="6"/>
      <c r="AJ22" s="6"/>
      <c r="AK22" s="6"/>
      <c r="AL22" s="6"/>
      <c r="AM22" s="6"/>
      <c r="AN22" s="6"/>
      <c r="AO22" s="6"/>
      <c r="AP22" s="6"/>
      <c r="AQ22" s="6"/>
      <c r="AR22" s="6"/>
      <c r="AS22" s="6"/>
      <c r="AT22" s="6"/>
      <c r="AU22" s="6"/>
      <c r="AV22" s="6"/>
      <c r="AW22" s="6"/>
      <c r="AX22" s="6"/>
      <c r="AY22" s="6"/>
      <c r="AZ22" s="6"/>
    </row>
    <row r="23" spans="1:52" ht="18" customHeight="1" x14ac:dyDescent="0.45">
      <c r="A23" s="46"/>
      <c r="B23" s="6"/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  <c r="P23" s="6"/>
      <c r="Q23" s="6"/>
      <c r="R23" s="6"/>
      <c r="S23" s="6"/>
      <c r="T23" s="6"/>
      <c r="U23" s="46"/>
      <c r="V23" s="120" t="str">
        <f>IF(16&lt;=Beheer!$C$4,"R16","")</f>
        <v/>
      </c>
      <c r="W23" s="53" t="str">
        <f ca="1">IF(16&lt;=Beheer!$C$4,ROUND(AVERAGE(OFFSET(Dashboard!$B$2,0,16,COUNTA(Beheer!$F$7:$F$66),1)),1),"")</f>
        <v/>
      </c>
      <c r="X23" s="110" t="str">
        <f ca="1">IF(16&lt;=Beheer!$C$4,MAX(OFFSET(Dashboard!$B$2,0,16,COUNTA(Beheer!$F$7:$F$66),1)),"")</f>
        <v/>
      </c>
      <c r="Y23" s="111" t="str">
        <f ca="1">IF(16&lt;=Beheer!$C$4,MIN(OFFSET(Dashboard!$B$2,0,16,COUNTA(Beheer!$F$7:$F$66),1)),"")</f>
        <v/>
      </c>
      <c r="Z23" s="67" t="str">
        <f ca="1">IF(16&lt;=Beheer!$C$4,REPT("█",ROUND(AVERAGE(OFFSET(Dashboard!$B$2,0,16,COUNTA(Beheer!$F$7:$F$66),1))/INDEX(Beheer!$B$7:$B$66,16)*20,0)),"")</f>
        <v/>
      </c>
      <c r="AA23" s="116" t="str">
        <f ca="1">IF(16&lt;=Beheer!$C$4,TEXT(COUNTIF(OFFSET(Dashboard!$B$2,0,16,COUNTA(Beheer!$F$7:$F$66),1),INDEX(Beheer!$B$7:$B$66,16))/COUNTA(Beheer!$F$7:$F$66),"0%"),"")</f>
        <v/>
      </c>
      <c r="AB23" s="6"/>
      <c r="AC23" s="6"/>
      <c r="AD23" s="6"/>
      <c r="AE23" s="6"/>
      <c r="AF23" s="6"/>
      <c r="AG23" s="6"/>
      <c r="AH23" s="6"/>
      <c r="AI23" s="6"/>
      <c r="AJ23" s="6"/>
      <c r="AK23" s="6"/>
      <c r="AL23" s="6"/>
      <c r="AM23" s="6"/>
      <c r="AN23" s="6"/>
      <c r="AO23" s="6"/>
      <c r="AP23" s="6"/>
      <c r="AQ23" s="6"/>
      <c r="AR23" s="6"/>
      <c r="AS23" s="6"/>
      <c r="AT23" s="6"/>
      <c r="AU23" s="6"/>
      <c r="AV23" s="6"/>
      <c r="AW23" s="6"/>
      <c r="AX23" s="6"/>
      <c r="AY23" s="6"/>
      <c r="AZ23" s="6"/>
    </row>
    <row r="24" spans="1:52" ht="18" customHeight="1" x14ac:dyDescent="0.45">
      <c r="A24" s="46"/>
      <c r="B24" s="6"/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  <c r="P24" s="6"/>
      <c r="Q24" s="6"/>
      <c r="R24" s="6"/>
      <c r="S24" s="6"/>
      <c r="T24" s="6"/>
      <c r="U24" s="46"/>
      <c r="V24" s="120" t="str">
        <f>IF(17&lt;=Beheer!$C$4,"R17","")</f>
        <v/>
      </c>
      <c r="W24" s="54" t="str">
        <f ca="1">IF(17&lt;=Beheer!$C$4,ROUND(AVERAGE(OFFSET(Dashboard!$B$2,0,17,COUNTA(Beheer!$F$7:$F$66),1)),1),"")</f>
        <v/>
      </c>
      <c r="X24" s="108" t="str">
        <f ca="1">IF(17&lt;=Beheer!$C$4,MAX(OFFSET(Dashboard!$B$2,0,17,COUNTA(Beheer!$F$7:$F$66),1)),"")</f>
        <v/>
      </c>
      <c r="Y24" s="109" t="str">
        <f ca="1">IF(17&lt;=Beheer!$C$4,MIN(OFFSET(Dashboard!$B$2,0,17,COUNTA(Beheer!$F$7:$F$66),1)),"")</f>
        <v/>
      </c>
      <c r="Z24" s="66" t="str">
        <f ca="1">IF(17&lt;=Beheer!$C$4,REPT("█",ROUND(AVERAGE(OFFSET(Dashboard!$B$2,0,17,COUNTA(Beheer!$F$7:$F$66),1))/INDEX(Beheer!$B$7:$B$66,17)*20,0)),"")</f>
        <v/>
      </c>
      <c r="AA24" s="116" t="str">
        <f ca="1">IF(17&lt;=Beheer!$C$4,TEXT(COUNTIF(OFFSET(Dashboard!$B$2,0,17,COUNTA(Beheer!$F$7:$F$66),1),INDEX(Beheer!$B$7:$B$66,17))/COUNTA(Beheer!$F$7:$F$66),"0%"),"")</f>
        <v/>
      </c>
      <c r="AB24" s="6"/>
      <c r="AC24" s="6"/>
      <c r="AD24" s="6"/>
      <c r="AE24" s="6"/>
      <c r="AF24" s="6"/>
      <c r="AG24" s="6"/>
      <c r="AH24" s="6"/>
      <c r="AI24" s="6"/>
      <c r="AJ24" s="6"/>
      <c r="AK24" s="6"/>
      <c r="AL24" s="6"/>
      <c r="AM24" s="6"/>
      <c r="AN24" s="6"/>
      <c r="AO24" s="6"/>
      <c r="AP24" s="6"/>
      <c r="AQ24" s="6"/>
      <c r="AR24" s="6"/>
      <c r="AS24" s="6"/>
      <c r="AT24" s="6"/>
      <c r="AU24" s="6"/>
      <c r="AV24" s="6"/>
      <c r="AW24" s="6"/>
      <c r="AX24" s="6"/>
      <c r="AY24" s="6"/>
      <c r="AZ24" s="6"/>
    </row>
    <row r="25" spans="1:52" ht="18" customHeight="1" x14ac:dyDescent="0.45">
      <c r="A25" s="46"/>
      <c r="B25" s="6"/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  <c r="P25" s="6"/>
      <c r="Q25" s="6"/>
      <c r="R25" s="6"/>
      <c r="S25" s="6"/>
      <c r="T25" s="6"/>
      <c r="U25" s="46"/>
      <c r="V25" s="120" t="str">
        <f>IF(18&lt;=Beheer!$C$4,"R18","")</f>
        <v/>
      </c>
      <c r="W25" s="53" t="str">
        <f ca="1">IF(18&lt;=Beheer!$C$4,ROUND(AVERAGE(OFFSET(Dashboard!$B$2,0,18,COUNTA(Beheer!$F$7:$F$66),1)),1),"")</f>
        <v/>
      </c>
      <c r="X25" s="110" t="str">
        <f ca="1">IF(18&lt;=Beheer!$C$4,MAX(OFFSET(Dashboard!$B$2,0,18,COUNTA(Beheer!$F$7:$F$66),1)),"")</f>
        <v/>
      </c>
      <c r="Y25" s="111" t="str">
        <f ca="1">IF(18&lt;=Beheer!$C$4,MIN(OFFSET(Dashboard!$B$2,0,18,COUNTA(Beheer!$F$7:$F$66),1)),"")</f>
        <v/>
      </c>
      <c r="Z25" s="67" t="str">
        <f ca="1">IF(18&lt;=Beheer!$C$4,REPT("█",ROUND(AVERAGE(OFFSET(Dashboard!$B$2,0,18,COUNTA(Beheer!$F$7:$F$66),1))/INDEX(Beheer!$B$7:$B$66,18)*20,0)),"")</f>
        <v/>
      </c>
      <c r="AA25" s="116" t="str">
        <f ca="1">IF(18&lt;=Beheer!$C$4,TEXT(COUNTIF(OFFSET(Dashboard!$B$2,0,18,COUNTA(Beheer!$F$7:$F$66),1),INDEX(Beheer!$B$7:$B$66,18))/COUNTA(Beheer!$F$7:$F$66),"0%"),"")</f>
        <v/>
      </c>
      <c r="AB25" s="6"/>
      <c r="AC25" s="6"/>
      <c r="AD25" s="6"/>
      <c r="AE25" s="6"/>
      <c r="AF25" s="6"/>
      <c r="AG25" s="6"/>
      <c r="AH25" s="6"/>
      <c r="AI25" s="6"/>
      <c r="AJ25" s="6"/>
      <c r="AK25" s="6"/>
      <c r="AL25" s="6"/>
      <c r="AM25" s="6"/>
      <c r="AN25" s="6"/>
      <c r="AO25" s="6"/>
      <c r="AP25" s="6"/>
      <c r="AQ25" s="6"/>
      <c r="AR25" s="6"/>
      <c r="AS25" s="6"/>
      <c r="AT25" s="6"/>
      <c r="AU25" s="6"/>
      <c r="AV25" s="6"/>
      <c r="AW25" s="6"/>
      <c r="AX25" s="6"/>
      <c r="AY25" s="6"/>
      <c r="AZ25" s="6"/>
    </row>
    <row r="26" spans="1:52" ht="18" customHeight="1" x14ac:dyDescent="0.45">
      <c r="A26" s="46"/>
      <c r="B26" s="6"/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  <c r="P26" s="6"/>
      <c r="Q26" s="6"/>
      <c r="R26" s="6"/>
      <c r="S26" s="6"/>
      <c r="T26" s="6"/>
      <c r="U26" s="46"/>
      <c r="V26" s="120" t="str">
        <f>IF(19&lt;=Beheer!$C$4,"R19","")</f>
        <v/>
      </c>
      <c r="W26" s="54" t="str">
        <f ca="1">IF(19&lt;=Beheer!$C$4,ROUND(AVERAGE(OFFSET(Dashboard!$B$2,0,19,COUNTA(Beheer!$F$7:$F$66),1)),1),"")</f>
        <v/>
      </c>
      <c r="X26" s="108" t="str">
        <f ca="1">IF(19&lt;=Beheer!$C$4,MAX(OFFSET(Dashboard!$B$2,0,19,COUNTA(Beheer!$F$7:$F$66),1)),"")</f>
        <v/>
      </c>
      <c r="Y26" s="109" t="str">
        <f ca="1">IF(19&lt;=Beheer!$C$4,MIN(OFFSET(Dashboard!$B$2,0,19,COUNTA(Beheer!$F$7:$F$66),1)),"")</f>
        <v/>
      </c>
      <c r="Z26" s="66" t="str">
        <f ca="1">IF(19&lt;=Beheer!$C$4,REPT("█",ROUND(AVERAGE(OFFSET(Dashboard!$B$2,0,19,COUNTA(Beheer!$F$7:$F$66),1))/INDEX(Beheer!$B$7:$B$66,19)*20,0)),"")</f>
        <v/>
      </c>
      <c r="AA26" s="116" t="str">
        <f ca="1">IF(19&lt;=Beheer!$C$4,TEXT(COUNTIF(OFFSET(Dashboard!$B$2,0,19,COUNTA(Beheer!$F$7:$F$66),1),INDEX(Beheer!$B$7:$B$66,19))/COUNTA(Beheer!$F$7:$F$66),"0%"),"")</f>
        <v/>
      </c>
      <c r="AB26" s="6"/>
      <c r="AC26" s="6"/>
      <c r="AD26" s="6"/>
      <c r="AE26" s="6"/>
      <c r="AF26" s="6"/>
      <c r="AG26" s="6"/>
      <c r="AH26" s="6"/>
      <c r="AI26" s="6"/>
      <c r="AJ26" s="6"/>
      <c r="AK26" s="6"/>
      <c r="AL26" s="6"/>
      <c r="AM26" s="6"/>
      <c r="AN26" s="6"/>
      <c r="AO26" s="6"/>
      <c r="AP26" s="6"/>
      <c r="AQ26" s="6"/>
      <c r="AR26" s="6"/>
      <c r="AS26" s="6"/>
      <c r="AT26" s="6"/>
      <c r="AU26" s="6"/>
      <c r="AV26" s="6"/>
      <c r="AW26" s="6"/>
      <c r="AX26" s="6"/>
      <c r="AY26" s="6"/>
      <c r="AZ26" s="6"/>
    </row>
    <row r="27" spans="1:52" ht="18" customHeight="1" x14ac:dyDescent="0.45">
      <c r="A27" s="46"/>
      <c r="B27" s="6"/>
      <c r="C27" s="6"/>
      <c r="D27" s="6"/>
      <c r="E27" s="6"/>
      <c r="F27" s="6"/>
      <c r="G27" s="6"/>
      <c r="H27" s="6"/>
      <c r="I27" s="6"/>
      <c r="J27" s="6"/>
      <c r="K27" s="6"/>
      <c r="L27" s="6"/>
      <c r="M27" s="6"/>
      <c r="N27" s="6"/>
      <c r="O27" s="6"/>
      <c r="P27" s="6"/>
      <c r="Q27" s="6"/>
      <c r="R27" s="6"/>
      <c r="S27" s="6"/>
      <c r="T27" s="6"/>
      <c r="U27" s="46"/>
      <c r="V27" s="120" t="str">
        <f>IF(20&lt;=Beheer!$C$4,"R20","")</f>
        <v/>
      </c>
      <c r="W27" s="53" t="str">
        <f ca="1">IF(20&lt;=Beheer!$C$4,ROUND(AVERAGE(OFFSET(Dashboard!$B$2,0,20,COUNTA(Beheer!$F$7:$F$66),1)),1),"")</f>
        <v/>
      </c>
      <c r="X27" s="110" t="str">
        <f ca="1">IF(20&lt;=Beheer!$C$4,MAX(OFFSET(Dashboard!$B$2,0,20,COUNTA(Beheer!$F$7:$F$66),1)),"")</f>
        <v/>
      </c>
      <c r="Y27" s="111" t="str">
        <f ca="1">IF(20&lt;=Beheer!$C$4,MIN(OFFSET(Dashboard!$B$2,0,20,COUNTA(Beheer!$F$7:$F$66),1)),"")</f>
        <v/>
      </c>
      <c r="Z27" s="67" t="str">
        <f ca="1">IF(20&lt;=Beheer!$C$4,REPT("█",ROUND(AVERAGE(OFFSET(Dashboard!$B$2,0,20,COUNTA(Beheer!$F$7:$F$66),1))/INDEX(Beheer!$B$7:$B$66,20)*20,0)),"")</f>
        <v/>
      </c>
      <c r="AA27" s="116" t="str">
        <f ca="1">IF(20&lt;=Beheer!$C$4,TEXT(COUNTIF(OFFSET(Dashboard!$B$2,0,20,COUNTA(Beheer!$F$7:$F$66),1),INDEX(Beheer!$B$7:$B$66,20))/COUNTA(Beheer!$F$7:$F$66),"0%"),"")</f>
        <v/>
      </c>
      <c r="AB27" s="6"/>
      <c r="AC27" s="6"/>
      <c r="AD27" s="6"/>
      <c r="AE27" s="6"/>
      <c r="AF27" s="6"/>
      <c r="AG27" s="6"/>
      <c r="AH27" s="6"/>
      <c r="AI27" s="6"/>
      <c r="AJ27" s="6"/>
      <c r="AK27" s="6"/>
      <c r="AL27" s="6"/>
      <c r="AM27" s="6"/>
      <c r="AN27" s="6"/>
      <c r="AO27" s="6"/>
      <c r="AP27" s="6"/>
      <c r="AQ27" s="6"/>
      <c r="AR27" s="6"/>
      <c r="AS27" s="6"/>
      <c r="AT27" s="6"/>
      <c r="AU27" s="6"/>
      <c r="AV27" s="6"/>
      <c r="AW27" s="6"/>
      <c r="AX27" s="6"/>
      <c r="AY27" s="6"/>
      <c r="AZ27" s="6"/>
    </row>
    <row r="28" spans="1:52" ht="18" customHeight="1" x14ac:dyDescent="0.45">
      <c r="A28" s="46"/>
      <c r="B28" s="6"/>
      <c r="C28" s="6"/>
      <c r="D28" s="6"/>
      <c r="E28" s="6"/>
      <c r="F28" s="6"/>
      <c r="G28" s="6"/>
      <c r="H28" s="6"/>
      <c r="I28" s="6"/>
      <c r="J28" s="6"/>
      <c r="K28" s="6"/>
      <c r="L28" s="6"/>
      <c r="M28" s="6"/>
      <c r="N28" s="6"/>
      <c r="O28" s="6"/>
      <c r="P28" s="6"/>
      <c r="Q28" s="6"/>
      <c r="R28" s="6"/>
      <c r="S28" s="6"/>
      <c r="T28" s="6"/>
      <c r="U28" s="46"/>
      <c r="V28" s="120" t="str">
        <f>IF(21&lt;=Beheer!$C$4,"R21","")</f>
        <v/>
      </c>
      <c r="W28" s="54" t="str">
        <f ca="1">IF(21&lt;=Beheer!$C$4,ROUND(AVERAGE(OFFSET(Dashboard!$B$2,0,21,COUNTA(Beheer!$F$7:$F$66),1)),1),"")</f>
        <v/>
      </c>
      <c r="X28" s="108" t="str">
        <f ca="1">IF(21&lt;=Beheer!$C$4,MAX(OFFSET(Dashboard!$B$2,0,21,COUNTA(Beheer!$F$7:$F$66),1)),"")</f>
        <v/>
      </c>
      <c r="Y28" s="109" t="str">
        <f ca="1">IF(21&lt;=Beheer!$C$4,MIN(OFFSET(Dashboard!$B$2,0,21,COUNTA(Beheer!$F$7:$F$66),1)),"")</f>
        <v/>
      </c>
      <c r="Z28" s="66" t="str">
        <f ca="1">IF(21&lt;=Beheer!$C$4,REPT("█",ROUND(AVERAGE(OFFSET(Dashboard!$B$2,0,21,COUNTA(Beheer!$F$7:$F$66),1))/INDEX(Beheer!$B$7:$B$66,21)*20,0)),"")</f>
        <v/>
      </c>
      <c r="AA28" s="116" t="str">
        <f ca="1">IF(21&lt;=Beheer!$C$4,TEXT(COUNTIF(OFFSET(Dashboard!$B$2,0,21,COUNTA(Beheer!$F$7:$F$66),1),INDEX(Beheer!$B$7:$B$66,21))/COUNTA(Beheer!$F$7:$F$66),"0%"),"")</f>
        <v/>
      </c>
      <c r="AB28" s="6"/>
      <c r="AC28" s="6"/>
      <c r="AD28" s="6"/>
      <c r="AE28" s="6"/>
      <c r="AF28" s="6"/>
      <c r="AG28" s="6"/>
      <c r="AH28" s="6"/>
      <c r="AI28" s="6"/>
      <c r="AJ28" s="6"/>
      <c r="AK28" s="6"/>
      <c r="AL28" s="6"/>
      <c r="AM28" s="6"/>
      <c r="AN28" s="6"/>
      <c r="AO28" s="6"/>
      <c r="AP28" s="6"/>
      <c r="AQ28" s="6"/>
      <c r="AR28" s="6"/>
      <c r="AS28" s="6"/>
      <c r="AT28" s="6"/>
      <c r="AU28" s="6"/>
      <c r="AV28" s="6"/>
      <c r="AW28" s="6"/>
      <c r="AX28" s="6"/>
      <c r="AY28" s="6"/>
      <c r="AZ28" s="6"/>
    </row>
    <row r="29" spans="1:52" ht="18" customHeight="1" x14ac:dyDescent="0.45">
      <c r="A29" s="46"/>
      <c r="B29" s="6"/>
      <c r="C29" s="6"/>
      <c r="D29" s="6"/>
      <c r="E29" s="6"/>
      <c r="F29" s="6"/>
      <c r="G29" s="6"/>
      <c r="H29" s="6"/>
      <c r="I29" s="6"/>
      <c r="J29" s="6"/>
      <c r="K29" s="6"/>
      <c r="L29" s="6"/>
      <c r="M29" s="6"/>
      <c r="N29" s="6"/>
      <c r="O29" s="6"/>
      <c r="P29" s="6"/>
      <c r="Q29" s="6"/>
      <c r="R29" s="6"/>
      <c r="S29" s="6"/>
      <c r="T29" s="6"/>
      <c r="U29" s="46"/>
      <c r="V29" s="120" t="str">
        <f>IF(22&lt;=Beheer!$C$4,"R22","")</f>
        <v/>
      </c>
      <c r="W29" s="53" t="str">
        <f ca="1">IF(22&lt;=Beheer!$C$4,ROUND(AVERAGE(OFFSET(Dashboard!$B$2,0,22,COUNTA(Beheer!$F$7:$F$66),1)),1),"")</f>
        <v/>
      </c>
      <c r="X29" s="110" t="str">
        <f ca="1">IF(22&lt;=Beheer!$C$4,MAX(OFFSET(Dashboard!$B$2,0,22,COUNTA(Beheer!$F$7:$F$66),1)),"")</f>
        <v/>
      </c>
      <c r="Y29" s="111" t="str">
        <f ca="1">IF(22&lt;=Beheer!$C$4,MIN(OFFSET(Dashboard!$B$2,0,22,COUNTA(Beheer!$F$7:$F$66),1)),"")</f>
        <v/>
      </c>
      <c r="Z29" s="67" t="str">
        <f ca="1">IF(22&lt;=Beheer!$C$4,REPT("█",ROUND(AVERAGE(OFFSET(Dashboard!$B$2,0,22,COUNTA(Beheer!$F$7:$F$66),1))/INDEX(Beheer!$B$7:$B$66,22)*20,0)),"")</f>
        <v/>
      </c>
      <c r="AA29" s="116" t="str">
        <f ca="1">IF(22&lt;=Beheer!$C$4,TEXT(COUNTIF(OFFSET(Dashboard!$B$2,0,22,COUNTA(Beheer!$F$7:$F$66),1),INDEX(Beheer!$B$7:$B$66,22))/COUNTA(Beheer!$F$7:$F$66),"0%"),"")</f>
        <v/>
      </c>
      <c r="AB29" s="6"/>
      <c r="AC29" s="6"/>
      <c r="AD29" s="6"/>
      <c r="AE29" s="6"/>
      <c r="AF29" s="6"/>
      <c r="AG29" s="6"/>
      <c r="AH29" s="6"/>
      <c r="AI29" s="6"/>
      <c r="AJ29" s="6"/>
      <c r="AK29" s="6"/>
      <c r="AL29" s="6"/>
      <c r="AM29" s="6"/>
      <c r="AN29" s="6"/>
      <c r="AO29" s="6"/>
      <c r="AP29" s="6"/>
      <c r="AQ29" s="6"/>
      <c r="AR29" s="6"/>
      <c r="AS29" s="6"/>
      <c r="AT29" s="6"/>
      <c r="AU29" s="6"/>
      <c r="AV29" s="6"/>
      <c r="AW29" s="6"/>
      <c r="AX29" s="6"/>
      <c r="AY29" s="6"/>
      <c r="AZ29" s="6"/>
    </row>
    <row r="30" spans="1:52" ht="18" customHeight="1" x14ac:dyDescent="0.45">
      <c r="A30" s="46"/>
      <c r="B30" s="6"/>
      <c r="C30" s="6"/>
      <c r="D30" s="6"/>
      <c r="E30" s="6"/>
      <c r="F30" s="6"/>
      <c r="G30" s="6"/>
      <c r="H30" s="6"/>
      <c r="I30" s="6"/>
      <c r="J30" s="6"/>
      <c r="K30" s="6"/>
      <c r="L30" s="6"/>
      <c r="M30" s="6"/>
      <c r="N30" s="6"/>
      <c r="O30" s="6"/>
      <c r="P30" s="6"/>
      <c r="Q30" s="6"/>
      <c r="R30" s="6"/>
      <c r="S30" s="6"/>
      <c r="T30" s="6"/>
      <c r="U30" s="46"/>
      <c r="V30" s="120" t="str">
        <f>IF(23&lt;=Beheer!$C$4,"R23","")</f>
        <v/>
      </c>
      <c r="W30" s="54" t="str">
        <f ca="1">IF(23&lt;=Beheer!$C$4,ROUND(AVERAGE(OFFSET(Dashboard!$B$2,0,23,COUNTA(Beheer!$F$7:$F$66),1)),1),"")</f>
        <v/>
      </c>
      <c r="X30" s="108" t="str">
        <f ca="1">IF(23&lt;=Beheer!$C$4,MAX(OFFSET(Dashboard!$B$2,0,23,COUNTA(Beheer!$F$7:$F$66),1)),"")</f>
        <v/>
      </c>
      <c r="Y30" s="109" t="str">
        <f ca="1">IF(23&lt;=Beheer!$C$4,MIN(OFFSET(Dashboard!$B$2,0,23,COUNTA(Beheer!$F$7:$F$66),1)),"")</f>
        <v/>
      </c>
      <c r="Z30" s="66" t="str">
        <f ca="1">IF(23&lt;=Beheer!$C$4,REPT("█",ROUND(AVERAGE(OFFSET(Dashboard!$B$2,0,23,COUNTA(Beheer!$F$7:$F$66),1))/INDEX(Beheer!$B$7:$B$66,23)*20,0)),"")</f>
        <v/>
      </c>
      <c r="AA30" s="116" t="str">
        <f ca="1">IF(23&lt;=Beheer!$C$4,TEXT(COUNTIF(OFFSET(Dashboard!$B$2,0,23,COUNTA(Beheer!$F$7:$F$66),1),INDEX(Beheer!$B$7:$B$66,23))/COUNTA(Beheer!$F$7:$F$66),"0%"),"")</f>
        <v/>
      </c>
      <c r="AB30" s="6"/>
      <c r="AC30" s="6"/>
      <c r="AD30" s="6"/>
      <c r="AE30" s="6"/>
      <c r="AF30" s="6"/>
      <c r="AG30" s="6"/>
      <c r="AH30" s="6"/>
      <c r="AI30" s="6"/>
      <c r="AJ30" s="6"/>
      <c r="AK30" s="6"/>
      <c r="AL30" s="6"/>
      <c r="AM30" s="6"/>
      <c r="AN30" s="6"/>
      <c r="AO30" s="6"/>
      <c r="AP30" s="6"/>
      <c r="AQ30" s="6"/>
      <c r="AR30" s="6"/>
      <c r="AS30" s="6"/>
      <c r="AT30" s="6"/>
      <c r="AU30" s="6"/>
      <c r="AV30" s="6"/>
      <c r="AW30" s="6"/>
      <c r="AX30" s="6"/>
      <c r="AY30" s="6"/>
      <c r="AZ30" s="6"/>
    </row>
    <row r="31" spans="1:52" ht="18" customHeight="1" x14ac:dyDescent="0.45">
      <c r="A31" s="46"/>
      <c r="B31" s="6"/>
      <c r="C31" s="6"/>
      <c r="D31" s="6"/>
      <c r="E31" s="6"/>
      <c r="F31" s="6"/>
      <c r="G31" s="6"/>
      <c r="H31" s="6"/>
      <c r="I31" s="6"/>
      <c r="J31" s="6"/>
      <c r="K31" s="6"/>
      <c r="L31" s="6"/>
      <c r="M31" s="6"/>
      <c r="N31" s="6"/>
      <c r="O31" s="6"/>
      <c r="P31" s="6"/>
      <c r="Q31" s="6"/>
      <c r="R31" s="6"/>
      <c r="S31" s="6"/>
      <c r="T31" s="6"/>
      <c r="U31" s="46"/>
      <c r="V31" s="120" t="str">
        <f>IF(24&lt;=Beheer!$C$4,"R24","")</f>
        <v/>
      </c>
      <c r="W31" s="53" t="str">
        <f ca="1">IF(24&lt;=Beheer!$C$4,ROUND(AVERAGE(OFFSET(Dashboard!$B$2,0,24,COUNTA(Beheer!$F$7:$F$66),1)),1),"")</f>
        <v/>
      </c>
      <c r="X31" s="110" t="str">
        <f ca="1">IF(24&lt;=Beheer!$C$4,MAX(OFFSET(Dashboard!$B$2,0,24,COUNTA(Beheer!$F$7:$F$66),1)),"")</f>
        <v/>
      </c>
      <c r="Y31" s="111" t="str">
        <f ca="1">IF(24&lt;=Beheer!$C$4,MIN(OFFSET(Dashboard!$B$2,0,24,COUNTA(Beheer!$F$7:$F$66),1)),"")</f>
        <v/>
      </c>
      <c r="Z31" s="67" t="str">
        <f ca="1">IF(24&lt;=Beheer!$C$4,REPT("█",ROUND(AVERAGE(OFFSET(Dashboard!$B$2,0,24,COUNTA(Beheer!$F$7:$F$66),1))/INDEX(Beheer!$B$7:$B$66,24)*20,0)),"")</f>
        <v/>
      </c>
      <c r="AA31" s="116" t="str">
        <f ca="1">IF(24&lt;=Beheer!$C$4,TEXT(COUNTIF(OFFSET(Dashboard!$B$2,0,24,COUNTA(Beheer!$F$7:$F$66),1),INDEX(Beheer!$B$7:$B$66,24))/COUNTA(Beheer!$F$7:$F$66),"0%"),"")</f>
        <v/>
      </c>
      <c r="AB31" s="6"/>
      <c r="AC31" s="6"/>
      <c r="AD31" s="6"/>
      <c r="AE31" s="6"/>
      <c r="AF31" s="6"/>
      <c r="AG31" s="6"/>
      <c r="AH31" s="6"/>
      <c r="AI31" s="6"/>
      <c r="AJ31" s="6"/>
      <c r="AK31" s="6"/>
      <c r="AL31" s="6"/>
      <c r="AM31" s="6"/>
      <c r="AN31" s="6"/>
      <c r="AO31" s="6"/>
      <c r="AP31" s="6"/>
      <c r="AQ31" s="6"/>
      <c r="AR31" s="6"/>
      <c r="AS31" s="6"/>
      <c r="AT31" s="6"/>
      <c r="AU31" s="6"/>
      <c r="AV31" s="6"/>
      <c r="AW31" s="6"/>
      <c r="AX31" s="6"/>
      <c r="AY31" s="6"/>
      <c r="AZ31" s="6"/>
    </row>
    <row r="32" spans="1:52" ht="18" customHeight="1" x14ac:dyDescent="0.45">
      <c r="A32" s="46"/>
      <c r="B32" s="6"/>
      <c r="C32" s="6"/>
      <c r="D32" s="6"/>
      <c r="E32" s="6"/>
      <c r="F32" s="6"/>
      <c r="G32" s="6"/>
      <c r="H32" s="6"/>
      <c r="I32" s="6"/>
      <c r="J32" s="6"/>
      <c r="K32" s="6"/>
      <c r="L32" s="6"/>
      <c r="M32" s="6"/>
      <c r="N32" s="6"/>
      <c r="O32" s="6"/>
      <c r="P32" s="6"/>
      <c r="Q32" s="6"/>
      <c r="R32" s="6"/>
      <c r="S32" s="6"/>
      <c r="T32" s="6"/>
      <c r="U32" s="46"/>
      <c r="V32" s="121" t="str">
        <f>IF(25&lt;=Beheer!$C$4,"R25","")</f>
        <v/>
      </c>
      <c r="W32" s="55" t="str">
        <f ca="1">IF(25&lt;=Beheer!$C$4,ROUND(AVERAGE(OFFSET(Dashboard!$B$2,0,25,COUNTA(Beheer!$F$7:$F$66),1)),1),"")</f>
        <v/>
      </c>
      <c r="X32" s="108" t="str">
        <f ca="1">IF(25&lt;=Beheer!$C$4,MAX(OFFSET(Dashboard!$B$2,0,25,COUNTA(Beheer!$F$7:$F$66),1)),"")</f>
        <v/>
      </c>
      <c r="Y32" s="112" t="str">
        <f ca="1">IF(25&lt;=Beheer!$C$4,MIN(OFFSET(Dashboard!$B$2,0,25,COUNTA(Beheer!$F$7:$F$66),1)),"")</f>
        <v/>
      </c>
      <c r="Z32" s="68" t="str">
        <f ca="1">IF(25&lt;=Beheer!$C$4,REPT("█",ROUND(AVERAGE(OFFSET(Dashboard!$B$2,0,25,COUNTA(Beheer!$F$7:$F$66),1))/INDEX(Beheer!$B$7:$B$66,25)*20,0)),"")</f>
        <v/>
      </c>
      <c r="AA32" s="116" t="str">
        <f ca="1">IF(25&lt;=Beheer!$C$4,TEXT(COUNTIF(OFFSET(Dashboard!$B$2,0,25,COUNTA(Beheer!$F$7:$F$66),1),INDEX(Beheer!$B$7:$B$66,25))/COUNTA(Beheer!$F$7:$F$66),"0%"),"")</f>
        <v/>
      </c>
      <c r="AB32" s="6"/>
      <c r="AC32" s="6"/>
      <c r="AD32" s="6"/>
      <c r="AE32" s="6"/>
      <c r="AF32" s="6"/>
      <c r="AG32" s="6"/>
      <c r="AH32" s="6"/>
      <c r="AI32" s="6"/>
      <c r="AJ32" s="6"/>
      <c r="AK32" s="6"/>
      <c r="AL32" s="6"/>
      <c r="AM32" s="6"/>
      <c r="AN32" s="6"/>
      <c r="AO32" s="6"/>
      <c r="AP32" s="6"/>
      <c r="AQ32" s="6"/>
      <c r="AR32" s="6"/>
      <c r="AS32" s="6"/>
      <c r="AT32" s="6"/>
      <c r="AU32" s="6"/>
      <c r="AV32" s="6"/>
      <c r="AW32" s="6"/>
      <c r="AX32" s="6"/>
      <c r="AY32" s="6"/>
      <c r="AZ32" s="6"/>
    </row>
    <row r="33" spans="1:52" ht="18" customHeight="1" x14ac:dyDescent="0.45">
      <c r="A33" s="46"/>
      <c r="B33" s="6"/>
      <c r="C33" s="6"/>
      <c r="D33" s="6"/>
      <c r="E33" s="6"/>
      <c r="F33" s="6"/>
      <c r="G33" s="6"/>
      <c r="H33" s="6"/>
      <c r="I33" s="6"/>
      <c r="J33" s="6"/>
      <c r="K33" s="6"/>
      <c r="L33" s="6"/>
      <c r="M33" s="6"/>
      <c r="N33" s="6"/>
      <c r="O33" s="6"/>
      <c r="P33" s="6"/>
      <c r="Q33" s="6"/>
      <c r="R33" s="6"/>
      <c r="S33" s="6"/>
      <c r="T33" s="6"/>
      <c r="U33" s="46"/>
      <c r="V33" s="120" t="str">
        <f>IF(26&lt;=Beheer!$C$4,"R26","")</f>
        <v/>
      </c>
      <c r="W33" s="53" t="str">
        <f ca="1">IF(26&lt;=Beheer!$C$4,ROUND(AVERAGE(OFFSET(Dashboard!$B$2,0,26,COUNTA(Beheer!$F$7:$F$66),1)),1),"")</f>
        <v/>
      </c>
      <c r="X33" s="110" t="str">
        <f ca="1">IF(26&lt;=Beheer!$C$4,MAX(OFFSET(Dashboard!$B$2,0,26,COUNTA(Beheer!$F$7:$F$66),1)),"")</f>
        <v/>
      </c>
      <c r="Y33" s="111" t="str">
        <f ca="1">IF(26&lt;=Beheer!$C$4,MIN(OFFSET(Dashboard!$B$2,0,26,COUNTA(Beheer!$F$7:$F$66),1)),"")</f>
        <v/>
      </c>
      <c r="Z33" s="69" t="str">
        <f ca="1">IF(26&lt;=Beheer!$C$4,REPT("█",ROUND(AVERAGE(OFFSET(Dashboard!$B$2,0,26,COUNTA(Beheer!$F$7:$F$66),1))/INDEX(Beheer!$B$7:$B$66,26)*20,0)),"")</f>
        <v/>
      </c>
      <c r="AA33" s="116" t="str">
        <f ca="1">IF(26&lt;=Beheer!$C$4,TEXT(COUNTIF(OFFSET(Dashboard!$B$2,0,26,COUNTA(Beheer!$F$7:$F$66),1),INDEX(Beheer!$B$7:$B$66,26))/COUNTA(Beheer!$F$7:$F$66),"0%"),"")</f>
        <v/>
      </c>
      <c r="AB33" s="6"/>
      <c r="AC33" s="6"/>
      <c r="AD33" s="6"/>
      <c r="AE33" s="6"/>
      <c r="AF33" s="6"/>
      <c r="AG33" s="6"/>
      <c r="AH33" s="6"/>
      <c r="AI33" s="6"/>
      <c r="AJ33" s="6"/>
      <c r="AK33" s="6"/>
      <c r="AL33" s="6"/>
      <c r="AM33" s="6"/>
      <c r="AN33" s="6"/>
      <c r="AO33" s="6"/>
      <c r="AP33" s="6"/>
      <c r="AQ33" s="6"/>
      <c r="AR33" s="6"/>
      <c r="AS33" s="6"/>
      <c r="AT33" s="6"/>
      <c r="AU33" s="6"/>
      <c r="AV33" s="6"/>
      <c r="AW33" s="6"/>
      <c r="AX33" s="6"/>
      <c r="AY33" s="6"/>
      <c r="AZ33" s="6"/>
    </row>
    <row r="34" spans="1:52" ht="18" customHeight="1" x14ac:dyDescent="0.45">
      <c r="A34" s="46"/>
      <c r="B34" s="6"/>
      <c r="C34" s="6"/>
      <c r="D34" s="6"/>
      <c r="E34" s="6"/>
      <c r="F34" s="6"/>
      <c r="G34" s="6"/>
      <c r="H34" s="6"/>
      <c r="I34" s="6"/>
      <c r="J34" s="6"/>
      <c r="K34" s="6"/>
      <c r="L34" s="6"/>
      <c r="M34" s="6"/>
      <c r="N34" s="6"/>
      <c r="O34" s="6"/>
      <c r="P34" s="6"/>
      <c r="Q34" s="6"/>
      <c r="R34" s="6"/>
      <c r="S34" s="6"/>
      <c r="T34" s="6"/>
      <c r="U34" s="46"/>
      <c r="V34" s="120" t="str">
        <f>IF(27&lt;=Beheer!$C$4,"R27","")</f>
        <v/>
      </c>
      <c r="W34" s="54" t="str">
        <f ca="1">IF(27&lt;=Beheer!$C$4,ROUND(AVERAGE(OFFSET(Dashboard!$B$2,0,27,COUNTA(Beheer!$F$7:$F$66),1)),1),"")</f>
        <v/>
      </c>
      <c r="X34" s="108" t="str">
        <f ca="1">IF(27&lt;=Beheer!$C$4,MAX(OFFSET(Dashboard!$B$2,0,27,COUNTA(Beheer!$F$7:$F$66),1)),"")</f>
        <v/>
      </c>
      <c r="Y34" s="109" t="str">
        <f ca="1">IF(27&lt;=Beheer!$C$4,MIN(OFFSET(Dashboard!$B$2,0,27,COUNTA(Beheer!$F$7:$F$66),1)),"")</f>
        <v/>
      </c>
      <c r="Z34" s="70" t="str">
        <f ca="1">IF(27&lt;=Beheer!$C$4,REPT("█",ROUND(AVERAGE(OFFSET(Dashboard!$B$2,0,27,COUNTA(Beheer!$F$7:$F$66),1))/INDEX(Beheer!$B$7:$B$66,27)*20,0)),"")</f>
        <v/>
      </c>
      <c r="AA34" s="116" t="str">
        <f ca="1">IF(27&lt;=Beheer!$C$4,TEXT(COUNTIF(OFFSET(Dashboard!$B$2,0,27,COUNTA(Beheer!$F$7:$F$66),1),INDEX(Beheer!$B$7:$B$66,27))/COUNTA(Beheer!$F$7:$F$66),"0%"),"")</f>
        <v/>
      </c>
      <c r="AB34" s="6"/>
      <c r="AC34" s="6"/>
      <c r="AD34" s="6"/>
      <c r="AE34" s="6"/>
      <c r="AF34" s="6"/>
      <c r="AG34" s="6"/>
      <c r="AH34" s="6"/>
      <c r="AI34" s="6"/>
      <c r="AJ34" s="6"/>
      <c r="AK34" s="6"/>
      <c r="AL34" s="6"/>
      <c r="AM34" s="6"/>
      <c r="AN34" s="6"/>
      <c r="AO34" s="6"/>
      <c r="AP34" s="6"/>
      <c r="AQ34" s="6"/>
      <c r="AR34" s="6"/>
      <c r="AS34" s="6"/>
      <c r="AT34" s="6"/>
      <c r="AU34" s="6"/>
      <c r="AV34" s="6"/>
      <c r="AW34" s="6"/>
      <c r="AX34" s="6"/>
      <c r="AY34" s="6"/>
      <c r="AZ34" s="6"/>
    </row>
    <row r="35" spans="1:52" ht="18" customHeight="1" x14ac:dyDescent="0.45">
      <c r="A35" s="46"/>
      <c r="B35" s="6"/>
      <c r="C35" s="6"/>
      <c r="D35" s="6"/>
      <c r="E35" s="6"/>
      <c r="F35" s="6"/>
      <c r="G35" s="6"/>
      <c r="H35" s="6"/>
      <c r="I35" s="6"/>
      <c r="J35" s="6"/>
      <c r="K35" s="6"/>
      <c r="L35" s="6"/>
      <c r="M35" s="6"/>
      <c r="N35" s="6"/>
      <c r="O35" s="6"/>
      <c r="P35" s="6"/>
      <c r="Q35" s="6"/>
      <c r="R35" s="6"/>
      <c r="S35" s="6"/>
      <c r="T35" s="6"/>
      <c r="U35" s="46"/>
      <c r="V35" s="120" t="str">
        <f>IF(28&lt;=Beheer!$C$4,"R28","")</f>
        <v/>
      </c>
      <c r="W35" s="53" t="str">
        <f ca="1">IF(28&lt;=Beheer!$C$4,ROUND(AVERAGE(OFFSET(Dashboard!$B$2,0,28,COUNTA(Beheer!$F$7:$F$66),1)),1),"")</f>
        <v/>
      </c>
      <c r="X35" s="110" t="str">
        <f ca="1">IF(28&lt;=Beheer!$C$4,MAX(OFFSET(Dashboard!$B$2,0,28,COUNTA(Beheer!$F$7:$F$66),1)),"")</f>
        <v/>
      </c>
      <c r="Y35" s="111" t="str">
        <f ca="1">IF(28&lt;=Beheer!$C$4,MIN(OFFSET(Dashboard!$B$2,0,28,COUNTA(Beheer!$F$7:$F$66),1)),"")</f>
        <v/>
      </c>
      <c r="Z35" s="69" t="str">
        <f ca="1">IF(28&lt;=Beheer!$C$4,REPT("█",ROUND(AVERAGE(OFFSET(Dashboard!$B$2,0,28,COUNTA(Beheer!$F$7:$F$66),1))/INDEX(Beheer!$B$7:$B$66,28)*20,0)),"")</f>
        <v/>
      </c>
      <c r="AA35" s="116" t="str">
        <f ca="1">IF(28&lt;=Beheer!$C$4,TEXT(COUNTIF(OFFSET(Dashboard!$B$2,0,28,COUNTA(Beheer!$F$7:$F$66),1),INDEX(Beheer!$B$7:$B$66,28))/COUNTA(Beheer!$F$7:$F$66),"0%"),"")</f>
        <v/>
      </c>
      <c r="AB35" s="6"/>
      <c r="AC35" s="6"/>
      <c r="AD35" s="6"/>
      <c r="AE35" s="6"/>
      <c r="AF35" s="6"/>
      <c r="AG35" s="6"/>
      <c r="AH35" s="6"/>
      <c r="AI35" s="6"/>
      <c r="AJ35" s="6"/>
      <c r="AK35" s="6"/>
      <c r="AL35" s="6"/>
      <c r="AM35" s="6"/>
      <c r="AN35" s="6"/>
      <c r="AO35" s="6"/>
      <c r="AP35" s="6"/>
      <c r="AQ35" s="6"/>
      <c r="AR35" s="6"/>
      <c r="AS35" s="6"/>
      <c r="AT35" s="6"/>
      <c r="AU35" s="6"/>
      <c r="AV35" s="6"/>
      <c r="AW35" s="6"/>
      <c r="AX35" s="6"/>
      <c r="AY35" s="6"/>
      <c r="AZ35" s="6"/>
    </row>
    <row r="36" spans="1:52" ht="18" customHeight="1" x14ac:dyDescent="0.45">
      <c r="A36" s="46"/>
      <c r="B36" s="6"/>
      <c r="C36" s="6"/>
      <c r="D36" s="6"/>
      <c r="E36" s="6"/>
      <c r="F36" s="6"/>
      <c r="G36" s="6"/>
      <c r="H36" s="6"/>
      <c r="I36" s="6"/>
      <c r="J36" s="6"/>
      <c r="K36" s="6"/>
      <c r="L36" s="6"/>
      <c r="M36" s="6"/>
      <c r="N36" s="6"/>
      <c r="O36" s="6"/>
      <c r="P36" s="6"/>
      <c r="Q36" s="6"/>
      <c r="R36" s="6"/>
      <c r="S36" s="6"/>
      <c r="T36" s="6"/>
      <c r="U36" s="46"/>
      <c r="V36" s="120" t="str">
        <f>IF(29&lt;=Beheer!$C$4,"R29","")</f>
        <v/>
      </c>
      <c r="W36" s="54" t="str">
        <f ca="1">IF(29&lt;=Beheer!$C$4,ROUND(AVERAGE(OFFSET(Dashboard!$B$2,0,29,COUNTA(Beheer!$F$7:$F$66),1)),1),"")</f>
        <v/>
      </c>
      <c r="X36" s="108" t="str">
        <f ca="1">IF(29&lt;=Beheer!$C$4,MAX(OFFSET(Dashboard!$B$2,0,29,COUNTA(Beheer!$F$7:$F$66),1)),"")</f>
        <v/>
      </c>
      <c r="Y36" s="109" t="str">
        <f ca="1">IF(29&lt;=Beheer!$C$4,MIN(OFFSET(Dashboard!$B$2,0,29,COUNTA(Beheer!$F$7:$F$66),1)),"")</f>
        <v/>
      </c>
      <c r="Z36" s="70" t="str">
        <f ca="1">IF(29&lt;=Beheer!$C$4,REPT("█",ROUND(AVERAGE(OFFSET(Dashboard!$B$2,0,29,COUNTA(Beheer!$F$7:$F$66),1))/INDEX(Beheer!$B$7:$B$66,29)*20,0)),"")</f>
        <v/>
      </c>
      <c r="AA36" s="116" t="str">
        <f ca="1">IF(29&lt;=Beheer!$C$4,TEXT(COUNTIF(OFFSET(Dashboard!$B$2,0,29,COUNTA(Beheer!$F$7:$F$66),1),INDEX(Beheer!$B$7:$B$66,29))/COUNTA(Beheer!$F$7:$F$66),"0%"),"")</f>
        <v/>
      </c>
      <c r="AB36" s="6"/>
      <c r="AC36" s="6"/>
      <c r="AD36" s="6"/>
      <c r="AE36" s="6"/>
      <c r="AF36" s="6"/>
      <c r="AG36" s="6"/>
      <c r="AH36" s="6"/>
      <c r="AI36" s="6"/>
      <c r="AJ36" s="6"/>
      <c r="AK36" s="6"/>
      <c r="AL36" s="6"/>
      <c r="AM36" s="6"/>
      <c r="AN36" s="6"/>
      <c r="AO36" s="6"/>
      <c r="AP36" s="6"/>
      <c r="AQ36" s="6"/>
      <c r="AR36" s="6"/>
      <c r="AS36" s="6"/>
      <c r="AT36" s="6"/>
      <c r="AU36" s="6"/>
      <c r="AV36" s="6"/>
      <c r="AW36" s="6"/>
      <c r="AX36" s="6"/>
      <c r="AY36" s="6"/>
      <c r="AZ36" s="6"/>
    </row>
    <row r="37" spans="1:52" ht="18" customHeight="1" x14ac:dyDescent="0.45">
      <c r="A37" s="46"/>
      <c r="B37" s="6"/>
      <c r="C37" s="6"/>
      <c r="D37" s="6"/>
      <c r="E37" s="6"/>
      <c r="F37" s="6"/>
      <c r="G37" s="6"/>
      <c r="H37" s="6"/>
      <c r="I37" s="6"/>
      <c r="J37" s="6"/>
      <c r="K37" s="6"/>
      <c r="L37" s="6"/>
      <c r="M37" s="6"/>
      <c r="N37" s="6"/>
      <c r="O37" s="6"/>
      <c r="P37" s="6"/>
      <c r="Q37" s="6"/>
      <c r="R37" s="6"/>
      <c r="S37" s="6"/>
      <c r="T37" s="6"/>
      <c r="U37" s="46"/>
      <c r="V37" s="121" t="str">
        <f>IF(30&lt;=Beheer!$C$4,"R30","")</f>
        <v/>
      </c>
      <c r="W37" s="113" t="str">
        <f ca="1">IF(30&lt;=Beheer!$C$4,ROUND(AVERAGE(OFFSET(Dashboard!$B$2,0,30,COUNTA(Beheer!$F$7:$F$66),1)),1),"")</f>
        <v/>
      </c>
      <c r="X37" s="114" t="str">
        <f ca="1">IF(30&lt;=Beheer!$C$4,MAX(OFFSET(Dashboard!$B$2,0,30,COUNTA(Beheer!$F$7:$F$66),1)),"")</f>
        <v/>
      </c>
      <c r="Y37" s="115" t="str">
        <f ca="1">IF(30&lt;=Beheer!$C$4,MIN(OFFSET(Dashboard!$B$2,0,30,COUNTA(Beheer!$F$7:$F$66),1)),"")</f>
        <v/>
      </c>
      <c r="Z37" s="71" t="str">
        <f ca="1">IF(30&lt;=Beheer!$C$4,REPT("█",ROUND(AVERAGE(OFFSET(Dashboard!$B$2,0,30,COUNTA(Beheer!$F$7:$F$66),1))/INDEX(Beheer!$B$7:$B$66,30)*20,0)),"")</f>
        <v/>
      </c>
      <c r="AA37" s="116" t="str">
        <f ca="1">IF(30&lt;=Beheer!$C$4,TEXT(COUNTIF(OFFSET(Dashboard!$B$2,0,30,COUNTA(Beheer!$F$7:$F$66),1),INDEX(Beheer!$B$7:$B$66,30))/COUNTA(Beheer!$F$7:$F$66),"0%"),"")</f>
        <v/>
      </c>
      <c r="AB37" s="6"/>
      <c r="AC37" s="6"/>
      <c r="AD37" s="6"/>
      <c r="AE37" s="6"/>
      <c r="AF37" s="6"/>
      <c r="AG37" s="6"/>
      <c r="AH37" s="6"/>
      <c r="AI37" s="6"/>
      <c r="AJ37" s="6"/>
      <c r="AK37" s="6"/>
      <c r="AL37" s="6"/>
      <c r="AM37" s="6"/>
      <c r="AN37" s="6"/>
      <c r="AO37" s="6"/>
      <c r="AP37" s="6"/>
      <c r="AQ37" s="6"/>
      <c r="AR37" s="6"/>
      <c r="AS37" s="6"/>
      <c r="AT37" s="6"/>
      <c r="AU37" s="6"/>
      <c r="AV37" s="6"/>
      <c r="AW37" s="6"/>
      <c r="AX37" s="6"/>
      <c r="AY37" s="6"/>
      <c r="AZ37" s="6"/>
    </row>
    <row r="38" spans="1:52" ht="15" customHeight="1" x14ac:dyDescent="0.45">
      <c r="A38" s="46"/>
      <c r="B38" s="6"/>
      <c r="C38" s="6"/>
      <c r="D38" s="6"/>
      <c r="E38" s="6"/>
      <c r="F38" s="6"/>
      <c r="G38" s="6"/>
      <c r="H38" s="6"/>
      <c r="I38" s="6"/>
      <c r="J38" s="6"/>
      <c r="K38" s="6"/>
      <c r="L38" s="6"/>
      <c r="M38" s="6"/>
      <c r="N38" s="6"/>
      <c r="O38" s="6"/>
      <c r="P38" s="6"/>
      <c r="Q38" s="6"/>
      <c r="R38" s="6"/>
      <c r="S38" s="6"/>
      <c r="T38" s="6"/>
      <c r="U38" s="46"/>
      <c r="V38" s="46"/>
      <c r="W38" s="46"/>
      <c r="X38" s="46"/>
      <c r="Y38" s="46"/>
      <c r="Z38" s="46"/>
      <c r="AA38" s="6"/>
      <c r="AB38" s="6"/>
      <c r="AC38" s="6"/>
      <c r="AD38" s="6"/>
      <c r="AE38" s="6"/>
      <c r="AF38" s="6"/>
      <c r="AG38" s="6"/>
      <c r="AH38" s="6"/>
      <c r="AI38" s="6"/>
      <c r="AJ38" s="6"/>
      <c r="AK38" s="6"/>
      <c r="AL38" s="6"/>
      <c r="AM38" s="6"/>
      <c r="AN38" s="6"/>
      <c r="AO38" s="6"/>
      <c r="AP38" s="6"/>
      <c r="AQ38" s="6"/>
      <c r="AR38" s="6"/>
      <c r="AS38" s="6"/>
      <c r="AT38" s="6"/>
      <c r="AU38" s="6"/>
      <c r="AV38" s="6"/>
      <c r="AW38" s="6"/>
      <c r="AX38" s="6"/>
      <c r="AY38" s="6"/>
      <c r="AZ38" s="6"/>
    </row>
    <row r="39" spans="1:52" ht="15" customHeight="1" x14ac:dyDescent="0.45">
      <c r="A39" s="46"/>
      <c r="B39" s="6"/>
      <c r="C39" s="6"/>
      <c r="D39" s="6"/>
      <c r="E39" s="6"/>
      <c r="F39" s="6"/>
      <c r="G39" s="6"/>
      <c r="H39" s="6"/>
      <c r="I39" s="6"/>
      <c r="J39" s="6"/>
      <c r="K39" s="6"/>
      <c r="L39" s="6"/>
      <c r="M39" s="6"/>
      <c r="N39" s="6"/>
      <c r="O39" s="6"/>
      <c r="P39" s="6"/>
      <c r="Q39" s="6"/>
      <c r="R39" s="6"/>
      <c r="S39" s="6"/>
      <c r="T39" s="6"/>
      <c r="U39" s="46"/>
      <c r="V39" s="46"/>
      <c r="W39" s="46"/>
      <c r="X39" s="46"/>
      <c r="Y39" s="46"/>
      <c r="Z39" s="46"/>
      <c r="AA39" s="6"/>
      <c r="AB39" s="6"/>
      <c r="AC39" s="6"/>
      <c r="AD39" s="6"/>
      <c r="AE39" s="6"/>
      <c r="AF39" s="6"/>
      <c r="AG39" s="6"/>
      <c r="AH39" s="6"/>
      <c r="AI39" s="6"/>
      <c r="AJ39" s="6"/>
      <c r="AK39" s="6"/>
      <c r="AL39" s="6"/>
      <c r="AM39" s="6"/>
      <c r="AN39" s="6"/>
      <c r="AO39" s="6"/>
      <c r="AP39" s="6"/>
      <c r="AQ39" s="6"/>
      <c r="AR39" s="6"/>
      <c r="AS39" s="6"/>
      <c r="AT39" s="6"/>
      <c r="AU39" s="6"/>
      <c r="AV39" s="6"/>
      <c r="AW39" s="6"/>
      <c r="AX39" s="6"/>
      <c r="AY39" s="6"/>
      <c r="AZ39" s="6"/>
    </row>
    <row r="40" spans="1:52" ht="15" customHeight="1" x14ac:dyDescent="0.45">
      <c r="A40" s="46"/>
      <c r="B40" s="6"/>
      <c r="C40" s="6"/>
      <c r="D40" s="6"/>
      <c r="E40" s="6"/>
      <c r="F40" s="6"/>
      <c r="G40" s="6"/>
      <c r="H40" s="6"/>
      <c r="I40" s="6"/>
      <c r="J40" s="6"/>
      <c r="K40" s="6"/>
      <c r="L40" s="6"/>
      <c r="M40" s="6"/>
      <c r="N40" s="6"/>
      <c r="O40" s="6"/>
      <c r="P40" s="6"/>
      <c r="Q40" s="6"/>
      <c r="R40" s="6"/>
      <c r="S40" s="6"/>
      <c r="T40" s="6"/>
      <c r="U40" s="46"/>
      <c r="V40" s="46"/>
      <c r="W40" s="46"/>
      <c r="X40" s="46"/>
      <c r="Y40" s="46"/>
      <c r="Z40" s="46"/>
      <c r="AA40" s="6"/>
      <c r="AB40" s="6"/>
      <c r="AC40" s="6"/>
      <c r="AD40" s="6"/>
      <c r="AE40" s="6"/>
      <c r="AF40" s="6"/>
      <c r="AG40" s="6"/>
      <c r="AH40" s="6"/>
      <c r="AI40" s="6"/>
      <c r="AJ40" s="6"/>
      <c r="AK40" s="6"/>
      <c r="AL40" s="6"/>
      <c r="AM40" s="6"/>
      <c r="AN40" s="6"/>
      <c r="AO40" s="6"/>
      <c r="AP40" s="6"/>
      <c r="AQ40" s="6"/>
      <c r="AR40" s="6"/>
      <c r="AS40" s="6"/>
      <c r="AT40" s="6"/>
      <c r="AU40" s="6"/>
      <c r="AV40" s="6"/>
      <c r="AW40" s="6"/>
      <c r="AX40" s="6"/>
      <c r="AY40" s="6"/>
      <c r="AZ40" s="6"/>
    </row>
    <row r="41" spans="1:52" ht="15" customHeight="1" x14ac:dyDescent="0.45">
      <c r="A41" s="46"/>
      <c r="B41" s="6"/>
      <c r="C41" s="6"/>
      <c r="D41" s="6"/>
      <c r="E41" s="6"/>
      <c r="F41" s="6"/>
      <c r="G41" s="6"/>
      <c r="H41" s="6"/>
      <c r="I41" s="6"/>
      <c r="J41" s="6"/>
      <c r="K41" s="6"/>
      <c r="L41" s="6"/>
      <c r="M41" s="6"/>
      <c r="N41" s="6"/>
      <c r="O41" s="6"/>
      <c r="P41" s="6"/>
      <c r="Q41" s="6"/>
      <c r="R41" s="6"/>
      <c r="S41" s="6"/>
      <c r="T41" s="6"/>
      <c r="U41" s="46"/>
      <c r="V41" s="46"/>
      <c r="W41" s="46"/>
      <c r="X41" s="46"/>
      <c r="Y41" s="46"/>
      <c r="Z41" s="46"/>
      <c r="AA41" s="6"/>
      <c r="AB41" s="6"/>
      <c r="AC41" s="6"/>
      <c r="AD41" s="6"/>
      <c r="AE41" s="6"/>
      <c r="AF41" s="6"/>
      <c r="AG41" s="6"/>
      <c r="AH41" s="6"/>
      <c r="AI41" s="6"/>
      <c r="AJ41" s="6"/>
      <c r="AK41" s="6"/>
      <c r="AL41" s="6"/>
      <c r="AM41" s="6"/>
      <c r="AN41" s="6"/>
      <c r="AO41" s="6"/>
      <c r="AP41" s="6"/>
      <c r="AQ41" s="6"/>
      <c r="AR41" s="6"/>
      <c r="AS41" s="6"/>
      <c r="AT41" s="6"/>
      <c r="AU41" s="6"/>
      <c r="AV41" s="6"/>
      <c r="AW41" s="6"/>
      <c r="AX41" s="6"/>
      <c r="AY41" s="6"/>
      <c r="AZ41" s="6"/>
    </row>
    <row r="42" spans="1:52" ht="15" customHeight="1" x14ac:dyDescent="0.45">
      <c r="A42" s="46"/>
      <c r="B42" s="6"/>
      <c r="C42" s="6"/>
      <c r="D42" s="6"/>
      <c r="E42" s="6"/>
      <c r="F42" s="6"/>
      <c r="G42" s="6"/>
      <c r="H42" s="6"/>
      <c r="I42" s="6"/>
      <c r="J42" s="6"/>
      <c r="K42" s="6"/>
      <c r="L42" s="6"/>
      <c r="M42" s="6"/>
      <c r="N42" s="6"/>
      <c r="O42" s="6"/>
      <c r="P42" s="6"/>
      <c r="Q42" s="6"/>
      <c r="R42" s="6"/>
      <c r="S42" s="6"/>
      <c r="T42" s="6"/>
      <c r="U42" s="46"/>
      <c r="V42" s="46"/>
      <c r="W42" s="46"/>
      <c r="X42" s="46"/>
      <c r="Y42" s="46"/>
      <c r="Z42" s="46"/>
      <c r="AA42" s="6"/>
      <c r="AB42" s="6"/>
      <c r="AC42" s="6"/>
      <c r="AD42" s="6"/>
      <c r="AE42" s="6"/>
      <c r="AF42" s="6"/>
      <c r="AG42" s="6"/>
      <c r="AH42" s="6"/>
      <c r="AI42" s="6"/>
      <c r="AJ42" s="6"/>
      <c r="AK42" s="6"/>
      <c r="AL42" s="6"/>
      <c r="AM42" s="6"/>
      <c r="AN42" s="6"/>
      <c r="AO42" s="6"/>
      <c r="AP42" s="6"/>
      <c r="AQ42" s="6"/>
      <c r="AR42" s="6"/>
      <c r="AS42" s="6"/>
      <c r="AT42" s="6"/>
      <c r="AU42" s="6"/>
      <c r="AV42" s="6"/>
      <c r="AW42" s="6"/>
      <c r="AX42" s="6"/>
      <c r="AY42" s="6"/>
      <c r="AZ42" s="6"/>
    </row>
    <row r="43" spans="1:52" ht="15" customHeight="1" x14ac:dyDescent="0.45">
      <c r="A43" s="46"/>
      <c r="B43" s="6"/>
      <c r="C43" s="6"/>
      <c r="D43" s="6"/>
      <c r="E43" s="6"/>
      <c r="F43" s="6"/>
      <c r="G43" s="6"/>
      <c r="H43" s="6"/>
      <c r="I43" s="6"/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  <c r="U43" s="46"/>
      <c r="V43" s="46"/>
      <c r="W43" s="46"/>
      <c r="X43" s="46"/>
      <c r="Y43" s="46"/>
      <c r="Z43" s="46"/>
      <c r="AA43" s="6"/>
      <c r="AB43" s="6"/>
      <c r="AC43" s="6"/>
      <c r="AD43" s="6"/>
      <c r="AE43" s="6"/>
      <c r="AF43" s="6"/>
      <c r="AG43" s="6"/>
      <c r="AH43" s="6"/>
      <c r="AI43" s="6"/>
      <c r="AJ43" s="6"/>
      <c r="AK43" s="6"/>
      <c r="AL43" s="6"/>
      <c r="AM43" s="6"/>
      <c r="AN43" s="6"/>
      <c r="AO43" s="6"/>
      <c r="AP43" s="6"/>
      <c r="AQ43" s="6"/>
      <c r="AR43" s="6"/>
      <c r="AS43" s="6"/>
      <c r="AT43" s="6"/>
      <c r="AU43" s="6"/>
      <c r="AV43" s="6"/>
      <c r="AW43" s="6"/>
      <c r="AX43" s="6"/>
      <c r="AY43" s="6"/>
      <c r="AZ43" s="6"/>
    </row>
    <row r="44" spans="1:52" ht="15" customHeight="1" x14ac:dyDescent="0.45">
      <c r="A44" s="46"/>
      <c r="B44" s="6"/>
      <c r="C44" s="6"/>
      <c r="D44" s="6"/>
      <c r="E44" s="6"/>
      <c r="F44" s="6"/>
      <c r="G44" s="6"/>
      <c r="H44" s="6"/>
      <c r="I44" s="6"/>
      <c r="J44" s="6"/>
      <c r="K44" s="6"/>
      <c r="L44" s="6"/>
      <c r="M44" s="6"/>
      <c r="N44" s="6"/>
      <c r="O44" s="6"/>
      <c r="P44" s="6"/>
      <c r="Q44" s="6"/>
      <c r="R44" s="6"/>
      <c r="S44" s="6"/>
      <c r="T44" s="6"/>
      <c r="U44" s="46"/>
      <c r="V44" s="46"/>
      <c r="W44" s="46"/>
      <c r="X44" s="46"/>
      <c r="Y44" s="46"/>
      <c r="Z44" s="46"/>
      <c r="AA44" s="6"/>
      <c r="AB44" s="6"/>
      <c r="AC44" s="6"/>
      <c r="AD44" s="6"/>
      <c r="AE44" s="6"/>
      <c r="AF44" s="6"/>
      <c r="AG44" s="6"/>
      <c r="AH44" s="6"/>
      <c r="AI44" s="6"/>
      <c r="AJ44" s="6"/>
      <c r="AK44" s="6"/>
      <c r="AL44" s="6"/>
      <c r="AM44" s="6"/>
      <c r="AN44" s="6"/>
      <c r="AO44" s="6"/>
      <c r="AP44" s="6"/>
      <c r="AQ44" s="6"/>
      <c r="AR44" s="6"/>
      <c r="AS44" s="6"/>
      <c r="AT44" s="6"/>
      <c r="AU44" s="6"/>
      <c r="AV44" s="6"/>
      <c r="AW44" s="6"/>
      <c r="AX44" s="6"/>
      <c r="AY44" s="6"/>
      <c r="AZ44" s="6"/>
    </row>
    <row r="45" spans="1:52" ht="15" customHeight="1" x14ac:dyDescent="0.45">
      <c r="A45" s="46"/>
      <c r="B45" s="6"/>
      <c r="C45" s="6"/>
      <c r="D45" s="6"/>
      <c r="E45" s="6"/>
      <c r="F45" s="6"/>
      <c r="G45" s="6"/>
      <c r="H45" s="6"/>
      <c r="I45" s="6"/>
      <c r="J45" s="6"/>
      <c r="K45" s="6"/>
      <c r="L45" s="6"/>
      <c r="M45" s="6"/>
      <c r="N45" s="6"/>
      <c r="O45" s="6"/>
      <c r="P45" s="6"/>
      <c r="Q45" s="6"/>
      <c r="R45" s="6"/>
      <c r="S45" s="6"/>
      <c r="T45" s="6"/>
      <c r="U45" s="46"/>
      <c r="V45" s="46"/>
      <c r="W45" s="46"/>
      <c r="X45" s="46"/>
      <c r="Y45" s="46"/>
      <c r="Z45" s="46"/>
      <c r="AA45" s="6"/>
      <c r="AB45" s="6"/>
      <c r="AC45" s="6"/>
      <c r="AD45" s="6"/>
      <c r="AE45" s="6"/>
      <c r="AF45" s="6"/>
      <c r="AG45" s="6"/>
      <c r="AH45" s="6"/>
      <c r="AI45" s="6"/>
      <c r="AJ45" s="6"/>
      <c r="AK45" s="6"/>
      <c r="AL45" s="6"/>
      <c r="AM45" s="6"/>
      <c r="AN45" s="6"/>
      <c r="AO45" s="6"/>
      <c r="AP45" s="6"/>
      <c r="AQ45" s="6"/>
      <c r="AR45" s="6"/>
      <c r="AS45" s="6"/>
      <c r="AT45" s="6"/>
      <c r="AU45" s="6"/>
      <c r="AV45" s="6"/>
      <c r="AW45" s="6"/>
      <c r="AX45" s="6"/>
      <c r="AY45" s="6"/>
      <c r="AZ45" s="6"/>
    </row>
    <row r="46" spans="1:52" ht="15" customHeight="1" x14ac:dyDescent="0.45">
      <c r="A46" s="46"/>
      <c r="B46" s="6"/>
      <c r="C46" s="6"/>
      <c r="D46" s="6"/>
      <c r="E46" s="6"/>
      <c r="F46" s="6"/>
      <c r="G46" s="6"/>
      <c r="H46" s="6"/>
      <c r="I46" s="6"/>
      <c r="J46" s="6"/>
      <c r="K46" s="6"/>
      <c r="L46" s="6"/>
      <c r="M46" s="6"/>
      <c r="N46" s="6"/>
      <c r="O46" s="6"/>
      <c r="P46" s="6"/>
      <c r="Q46" s="6"/>
      <c r="R46" s="6"/>
      <c r="S46" s="6"/>
      <c r="T46" s="6"/>
      <c r="U46" s="46"/>
      <c r="V46" s="46"/>
      <c r="W46" s="46"/>
      <c r="X46" s="46"/>
      <c r="Y46" s="46"/>
      <c r="Z46" s="46"/>
      <c r="AA46" s="6"/>
      <c r="AB46" s="6"/>
      <c r="AC46" s="6"/>
      <c r="AD46" s="6"/>
      <c r="AE46" s="6"/>
      <c r="AF46" s="6"/>
      <c r="AG46" s="6"/>
      <c r="AH46" s="6"/>
      <c r="AI46" s="6"/>
      <c r="AJ46" s="6"/>
      <c r="AK46" s="6"/>
      <c r="AL46" s="6"/>
      <c r="AM46" s="6"/>
      <c r="AN46" s="6"/>
      <c r="AO46" s="6"/>
      <c r="AP46" s="6"/>
      <c r="AQ46" s="6"/>
      <c r="AR46" s="6"/>
      <c r="AS46" s="6"/>
      <c r="AT46" s="6"/>
      <c r="AU46" s="6"/>
      <c r="AV46" s="6"/>
      <c r="AW46" s="6"/>
      <c r="AX46" s="6"/>
      <c r="AY46" s="6"/>
      <c r="AZ46" s="6"/>
    </row>
    <row r="47" spans="1:52" ht="15" customHeight="1" x14ac:dyDescent="0.45">
      <c r="A47" s="46"/>
      <c r="B47" s="6"/>
      <c r="C47" s="6"/>
      <c r="D47" s="6"/>
      <c r="E47" s="6"/>
      <c r="F47" s="6"/>
      <c r="G47" s="6"/>
      <c r="H47" s="6"/>
      <c r="I47" s="6"/>
      <c r="J47" s="6"/>
      <c r="K47" s="6"/>
      <c r="L47" s="6"/>
      <c r="M47" s="6"/>
      <c r="N47" s="6"/>
      <c r="O47" s="6"/>
      <c r="P47" s="6"/>
      <c r="Q47" s="6"/>
      <c r="R47" s="6"/>
      <c r="S47" s="6"/>
      <c r="T47" s="6"/>
      <c r="U47" s="46"/>
      <c r="V47" s="46"/>
      <c r="W47" s="46"/>
      <c r="X47" s="46"/>
      <c r="Y47" s="46"/>
      <c r="Z47" s="46"/>
      <c r="AA47" s="6"/>
      <c r="AB47" s="6"/>
      <c r="AC47" s="6"/>
      <c r="AD47" s="6"/>
      <c r="AE47" s="6"/>
      <c r="AF47" s="6"/>
      <c r="AG47" s="6"/>
      <c r="AH47" s="6"/>
      <c r="AI47" s="6"/>
      <c r="AJ47" s="6"/>
      <c r="AK47" s="6"/>
      <c r="AL47" s="6"/>
      <c r="AM47" s="6"/>
      <c r="AN47" s="6"/>
      <c r="AO47" s="6"/>
      <c r="AP47" s="6"/>
      <c r="AQ47" s="6"/>
      <c r="AR47" s="6"/>
      <c r="AS47" s="6"/>
      <c r="AT47" s="6"/>
      <c r="AU47" s="6"/>
      <c r="AV47" s="6"/>
      <c r="AW47" s="6"/>
      <c r="AX47" s="6"/>
      <c r="AY47" s="6"/>
      <c r="AZ47" s="6"/>
    </row>
    <row r="48" spans="1:52" ht="15" customHeight="1" x14ac:dyDescent="0.45">
      <c r="A48" s="46"/>
      <c r="B48" s="6"/>
      <c r="C48" s="6"/>
      <c r="D48" s="6"/>
      <c r="E48" s="6"/>
      <c r="F48" s="6"/>
      <c r="G48" s="6"/>
      <c r="H48" s="6"/>
      <c r="I48" s="6"/>
      <c r="J48" s="6"/>
      <c r="K48" s="6"/>
      <c r="L48" s="6"/>
      <c r="M48" s="6"/>
      <c r="N48" s="6"/>
      <c r="O48" s="6"/>
      <c r="P48" s="6"/>
      <c r="Q48" s="6"/>
      <c r="R48" s="6"/>
      <c r="S48" s="6"/>
      <c r="T48" s="6"/>
      <c r="U48" s="46"/>
      <c r="V48" s="46"/>
      <c r="W48" s="46"/>
      <c r="X48" s="46"/>
      <c r="Y48" s="46"/>
      <c r="Z48" s="46"/>
      <c r="AA48" s="6"/>
      <c r="AB48" s="6"/>
      <c r="AC48" s="6"/>
      <c r="AD48" s="6"/>
      <c r="AE48" s="6"/>
      <c r="AF48" s="6"/>
      <c r="AG48" s="6"/>
      <c r="AH48" s="6"/>
      <c r="AI48" s="6"/>
      <c r="AJ48" s="6"/>
      <c r="AK48" s="6"/>
      <c r="AL48" s="6"/>
      <c r="AM48" s="6"/>
      <c r="AN48" s="6"/>
      <c r="AO48" s="6"/>
      <c r="AP48" s="6"/>
      <c r="AQ48" s="6"/>
      <c r="AR48" s="6"/>
      <c r="AS48" s="6"/>
      <c r="AT48" s="6"/>
      <c r="AU48" s="6"/>
      <c r="AV48" s="6"/>
      <c r="AW48" s="6"/>
      <c r="AX48" s="6"/>
      <c r="AY48" s="6"/>
      <c r="AZ48" s="6"/>
    </row>
    <row r="49" spans="1:52" ht="15" customHeight="1" x14ac:dyDescent="0.45">
      <c r="A49" s="46"/>
      <c r="B49" s="6"/>
      <c r="C49" s="6"/>
      <c r="D49" s="6"/>
      <c r="E49" s="6"/>
      <c r="F49" s="6"/>
      <c r="G49" s="6"/>
      <c r="H49" s="6"/>
      <c r="I49" s="6"/>
      <c r="J49" s="6"/>
      <c r="K49" s="6"/>
      <c r="L49" s="6"/>
      <c r="M49" s="6"/>
      <c r="N49" s="6"/>
      <c r="O49" s="6"/>
      <c r="P49" s="6"/>
      <c r="Q49" s="6"/>
      <c r="R49" s="6"/>
      <c r="S49" s="6"/>
      <c r="T49" s="6"/>
      <c r="U49" s="46"/>
      <c r="V49" s="46"/>
      <c r="W49" s="46"/>
      <c r="X49" s="46"/>
      <c r="Y49" s="46"/>
      <c r="Z49" s="46"/>
      <c r="AA49" s="6"/>
      <c r="AB49" s="6"/>
      <c r="AC49" s="6"/>
      <c r="AD49" s="6"/>
      <c r="AE49" s="6"/>
      <c r="AF49" s="6"/>
      <c r="AG49" s="6"/>
      <c r="AH49" s="6"/>
      <c r="AI49" s="6"/>
      <c r="AJ49" s="6"/>
      <c r="AK49" s="6"/>
      <c r="AL49" s="6"/>
      <c r="AM49" s="6"/>
      <c r="AN49" s="6"/>
      <c r="AO49" s="6"/>
      <c r="AP49" s="6"/>
      <c r="AQ49" s="6"/>
      <c r="AR49" s="6"/>
      <c r="AS49" s="6"/>
      <c r="AT49" s="6"/>
      <c r="AU49" s="6"/>
      <c r="AV49" s="6"/>
      <c r="AW49" s="6"/>
      <c r="AX49" s="6"/>
      <c r="AY49" s="6"/>
      <c r="AZ49" s="6"/>
    </row>
    <row r="50" spans="1:52" ht="15" customHeight="1" x14ac:dyDescent="0.45">
      <c r="A50" s="46"/>
      <c r="B50" s="6"/>
      <c r="C50" s="6"/>
      <c r="D50" s="6"/>
      <c r="E50" s="6"/>
      <c r="F50" s="6"/>
      <c r="G50" s="6"/>
      <c r="H50" s="6"/>
      <c r="I50" s="6"/>
      <c r="J50" s="6"/>
      <c r="K50" s="6"/>
      <c r="L50" s="6"/>
      <c r="M50" s="6"/>
      <c r="N50" s="6"/>
      <c r="O50" s="6"/>
      <c r="P50" s="6"/>
      <c r="Q50" s="6"/>
      <c r="R50" s="6"/>
      <c r="S50" s="6"/>
      <c r="T50" s="6"/>
      <c r="U50" s="46"/>
      <c r="V50" s="46"/>
      <c r="W50" s="46"/>
      <c r="X50" s="46"/>
      <c r="Y50" s="46"/>
      <c r="Z50" s="46"/>
      <c r="AA50" s="6"/>
      <c r="AB50" s="6"/>
      <c r="AC50" s="6"/>
      <c r="AD50" s="6"/>
      <c r="AE50" s="6"/>
      <c r="AF50" s="6"/>
      <c r="AG50" s="6"/>
      <c r="AH50" s="6"/>
      <c r="AI50" s="6"/>
      <c r="AJ50" s="6"/>
      <c r="AK50" s="6"/>
      <c r="AL50" s="6"/>
      <c r="AM50" s="6"/>
      <c r="AN50" s="6"/>
      <c r="AO50" s="6"/>
      <c r="AP50" s="6"/>
      <c r="AQ50" s="6"/>
      <c r="AR50" s="6"/>
      <c r="AS50" s="6"/>
      <c r="AT50" s="6"/>
      <c r="AU50" s="6"/>
      <c r="AV50" s="6"/>
      <c r="AW50" s="6"/>
      <c r="AX50" s="6"/>
      <c r="AY50" s="6"/>
      <c r="AZ50" s="6"/>
    </row>
    <row r="51" spans="1:52" ht="15" customHeight="1" x14ac:dyDescent="0.45">
      <c r="A51" s="46"/>
      <c r="B51" s="6"/>
      <c r="C51" s="6"/>
      <c r="D51" s="6"/>
      <c r="E51" s="6"/>
      <c r="F51" s="6"/>
      <c r="G51" s="6"/>
      <c r="H51" s="6"/>
      <c r="I51" s="6"/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  <c r="U51" s="46"/>
      <c r="V51" s="46"/>
      <c r="W51" s="46"/>
      <c r="X51" s="46"/>
      <c r="Y51" s="46"/>
      <c r="Z51" s="46"/>
      <c r="AA51" s="6"/>
      <c r="AB51" s="6"/>
      <c r="AC51" s="6"/>
      <c r="AD51" s="6"/>
      <c r="AE51" s="6"/>
      <c r="AF51" s="6"/>
      <c r="AG51" s="6"/>
      <c r="AH51" s="6"/>
      <c r="AI51" s="6"/>
      <c r="AJ51" s="6"/>
      <c r="AK51" s="6"/>
      <c r="AL51" s="6"/>
      <c r="AM51" s="6"/>
      <c r="AN51" s="6"/>
      <c r="AO51" s="6"/>
      <c r="AP51" s="6"/>
      <c r="AQ51" s="6"/>
      <c r="AR51" s="6"/>
      <c r="AS51" s="6"/>
      <c r="AT51" s="6"/>
      <c r="AU51" s="6"/>
      <c r="AV51" s="6"/>
      <c r="AW51" s="6"/>
      <c r="AX51" s="6"/>
      <c r="AY51" s="6"/>
      <c r="AZ51" s="6"/>
    </row>
    <row r="52" spans="1:52" ht="15" customHeight="1" x14ac:dyDescent="0.45">
      <c r="A52" s="46"/>
      <c r="B52" s="6"/>
      <c r="C52" s="6"/>
      <c r="D52" s="6"/>
      <c r="E52" s="6"/>
      <c r="F52" s="6"/>
      <c r="G52" s="6"/>
      <c r="H52" s="6"/>
      <c r="I52" s="6"/>
      <c r="J52" s="6"/>
      <c r="K52" s="6"/>
      <c r="L52" s="6"/>
      <c r="M52" s="6"/>
      <c r="N52" s="6"/>
      <c r="O52" s="6"/>
      <c r="P52" s="6"/>
      <c r="Q52" s="6"/>
      <c r="R52" s="6"/>
      <c r="S52" s="6"/>
      <c r="T52" s="6"/>
      <c r="U52" s="46"/>
      <c r="V52" s="46"/>
      <c r="W52" s="46"/>
      <c r="X52" s="46"/>
      <c r="Y52" s="46"/>
      <c r="Z52" s="46"/>
      <c r="AA52" s="6"/>
      <c r="AB52" s="6"/>
      <c r="AC52" s="6"/>
      <c r="AD52" s="6"/>
      <c r="AE52" s="6"/>
      <c r="AF52" s="6"/>
      <c r="AG52" s="6"/>
      <c r="AH52" s="6"/>
      <c r="AI52" s="6"/>
      <c r="AJ52" s="6"/>
      <c r="AK52" s="6"/>
      <c r="AL52" s="6"/>
      <c r="AM52" s="6"/>
      <c r="AN52" s="6"/>
      <c r="AO52" s="6"/>
      <c r="AP52" s="6"/>
      <c r="AQ52" s="6"/>
      <c r="AR52" s="6"/>
      <c r="AS52" s="6"/>
      <c r="AT52" s="6"/>
      <c r="AU52" s="6"/>
      <c r="AV52" s="6"/>
      <c r="AW52" s="6"/>
      <c r="AX52" s="6"/>
      <c r="AY52" s="6"/>
      <c r="AZ52" s="6"/>
    </row>
    <row r="53" spans="1:52" ht="15" customHeight="1" x14ac:dyDescent="0.45">
      <c r="A53" s="46"/>
      <c r="B53" s="6"/>
      <c r="C53" s="6"/>
      <c r="D53" s="6"/>
      <c r="E53" s="6"/>
      <c r="F53" s="6"/>
      <c r="G53" s="6"/>
      <c r="H53" s="6"/>
      <c r="I53" s="6"/>
      <c r="J53" s="6"/>
      <c r="K53" s="6"/>
      <c r="L53" s="6"/>
      <c r="M53" s="6"/>
      <c r="N53" s="6"/>
      <c r="O53" s="6"/>
      <c r="P53" s="6"/>
      <c r="Q53" s="6"/>
      <c r="R53" s="6"/>
      <c r="S53" s="6"/>
      <c r="T53" s="6"/>
      <c r="U53" s="46"/>
      <c r="V53" s="46"/>
      <c r="W53" s="46"/>
      <c r="X53" s="46"/>
      <c r="Y53" s="46"/>
      <c r="Z53" s="46"/>
      <c r="AA53" s="6"/>
      <c r="AB53" s="6"/>
      <c r="AC53" s="6"/>
      <c r="AD53" s="6"/>
      <c r="AE53" s="6"/>
      <c r="AF53" s="6"/>
      <c r="AG53" s="6"/>
      <c r="AH53" s="6"/>
      <c r="AI53" s="6"/>
      <c r="AJ53" s="6"/>
      <c r="AK53" s="6"/>
      <c r="AL53" s="6"/>
      <c r="AM53" s="6"/>
      <c r="AN53" s="6"/>
      <c r="AO53" s="6"/>
      <c r="AP53" s="6"/>
      <c r="AQ53" s="6"/>
      <c r="AR53" s="6"/>
      <c r="AS53" s="6"/>
      <c r="AT53" s="6"/>
      <c r="AU53" s="6"/>
      <c r="AV53" s="6"/>
      <c r="AW53" s="6"/>
      <c r="AX53" s="6"/>
      <c r="AY53" s="6"/>
      <c r="AZ53" s="6"/>
    </row>
    <row r="54" spans="1:52" ht="15" customHeight="1" x14ac:dyDescent="0.45">
      <c r="A54" s="46"/>
      <c r="B54" s="6"/>
      <c r="C54" s="6"/>
      <c r="D54" s="6"/>
      <c r="E54" s="6"/>
      <c r="F54" s="6"/>
      <c r="G54" s="6"/>
      <c r="H54" s="6"/>
      <c r="I54" s="6"/>
      <c r="J54" s="6"/>
      <c r="K54" s="6"/>
      <c r="L54" s="6"/>
      <c r="M54" s="6"/>
      <c r="N54" s="6"/>
      <c r="O54" s="6"/>
      <c r="P54" s="6"/>
      <c r="Q54" s="6"/>
      <c r="R54" s="6"/>
      <c r="S54" s="6"/>
      <c r="T54" s="6"/>
      <c r="U54" s="46"/>
      <c r="V54" s="46"/>
      <c r="W54" s="46"/>
      <c r="X54" s="46"/>
      <c r="Y54" s="46"/>
      <c r="Z54" s="46"/>
      <c r="AA54" s="6"/>
      <c r="AB54" s="6"/>
      <c r="AC54" s="6"/>
      <c r="AD54" s="6"/>
      <c r="AE54" s="6"/>
      <c r="AF54" s="6"/>
      <c r="AG54" s="6"/>
      <c r="AH54" s="6"/>
      <c r="AI54" s="6"/>
      <c r="AJ54" s="6"/>
      <c r="AK54" s="6"/>
      <c r="AL54" s="6"/>
      <c r="AM54" s="6"/>
      <c r="AN54" s="6"/>
      <c r="AO54" s="6"/>
      <c r="AP54" s="6"/>
      <c r="AQ54" s="6"/>
      <c r="AR54" s="6"/>
      <c r="AS54" s="6"/>
      <c r="AT54" s="6"/>
      <c r="AU54" s="6"/>
      <c r="AV54" s="6"/>
      <c r="AW54" s="6"/>
      <c r="AX54" s="6"/>
      <c r="AY54" s="6"/>
      <c r="AZ54" s="6"/>
    </row>
    <row r="55" spans="1:52" ht="15" customHeight="1" x14ac:dyDescent="0.45">
      <c r="A55" s="46"/>
      <c r="B55" s="6"/>
      <c r="C55" s="6"/>
      <c r="D55" s="6"/>
      <c r="E55" s="6"/>
      <c r="F55" s="6"/>
      <c r="G55" s="6"/>
      <c r="H55" s="6"/>
      <c r="I55" s="6"/>
      <c r="J55" s="6"/>
      <c r="K55" s="6"/>
      <c r="L55" s="6"/>
      <c r="M55" s="6"/>
      <c r="N55" s="6"/>
      <c r="O55" s="6"/>
      <c r="P55" s="6"/>
      <c r="Q55" s="6"/>
      <c r="R55" s="6"/>
      <c r="S55" s="6"/>
      <c r="T55" s="6"/>
      <c r="U55" s="46"/>
      <c r="V55" s="46"/>
      <c r="W55" s="46"/>
      <c r="X55" s="46"/>
      <c r="Y55" s="46"/>
      <c r="Z55" s="46"/>
      <c r="AA55" s="6"/>
      <c r="AB55" s="6"/>
      <c r="AC55" s="6"/>
      <c r="AD55" s="6"/>
      <c r="AE55" s="6"/>
      <c r="AF55" s="6"/>
      <c r="AG55" s="6"/>
      <c r="AH55" s="6"/>
      <c r="AI55" s="6"/>
      <c r="AJ55" s="6"/>
      <c r="AK55" s="6"/>
      <c r="AL55" s="6"/>
      <c r="AM55" s="6"/>
      <c r="AN55" s="6"/>
      <c r="AO55" s="6"/>
      <c r="AP55" s="6"/>
      <c r="AQ55" s="6"/>
      <c r="AR55" s="6"/>
      <c r="AS55" s="6"/>
      <c r="AT55" s="6"/>
      <c r="AU55" s="6"/>
      <c r="AV55" s="6"/>
      <c r="AW55" s="6"/>
      <c r="AX55" s="6"/>
      <c r="AY55" s="6"/>
      <c r="AZ55" s="6"/>
    </row>
    <row r="56" spans="1:52" ht="15" customHeight="1" x14ac:dyDescent="0.45">
      <c r="A56" s="46"/>
      <c r="B56" s="6"/>
      <c r="C56" s="6"/>
      <c r="D56" s="6"/>
      <c r="E56" s="6"/>
      <c r="F56" s="6"/>
      <c r="G56" s="6"/>
      <c r="H56" s="6"/>
      <c r="I56" s="6"/>
      <c r="J56" s="6"/>
      <c r="K56" s="6"/>
      <c r="L56" s="6"/>
      <c r="M56" s="6"/>
      <c r="N56" s="6"/>
      <c r="O56" s="6"/>
      <c r="P56" s="6"/>
      <c r="Q56" s="6"/>
      <c r="R56" s="6"/>
      <c r="S56" s="6"/>
      <c r="T56" s="6"/>
      <c r="U56" s="46"/>
      <c r="V56" s="46"/>
      <c r="W56" s="46"/>
      <c r="X56" s="46"/>
      <c r="Y56" s="46"/>
      <c r="Z56" s="46"/>
      <c r="AA56" s="6"/>
      <c r="AB56" s="6"/>
      <c r="AC56" s="6"/>
      <c r="AD56" s="6"/>
      <c r="AE56" s="6"/>
      <c r="AF56" s="6"/>
      <c r="AG56" s="6"/>
      <c r="AH56" s="6"/>
      <c r="AI56" s="6"/>
      <c r="AJ56" s="6"/>
      <c r="AK56" s="6"/>
      <c r="AL56" s="6"/>
      <c r="AM56" s="6"/>
      <c r="AN56" s="6"/>
      <c r="AO56" s="6"/>
      <c r="AP56" s="6"/>
      <c r="AQ56" s="6"/>
      <c r="AR56" s="6"/>
      <c r="AS56" s="6"/>
      <c r="AT56" s="6"/>
      <c r="AU56" s="6"/>
      <c r="AV56" s="6"/>
      <c r="AW56" s="6"/>
      <c r="AX56" s="6"/>
      <c r="AY56" s="6"/>
      <c r="AZ56" s="6"/>
    </row>
    <row r="57" spans="1:52" ht="15" customHeight="1" x14ac:dyDescent="0.45">
      <c r="A57" s="46"/>
      <c r="B57" s="6"/>
      <c r="C57" s="6"/>
      <c r="D57" s="6"/>
      <c r="E57" s="6"/>
      <c r="F57" s="6"/>
      <c r="G57" s="6"/>
      <c r="H57" s="6"/>
      <c r="I57" s="6"/>
      <c r="J57" s="6"/>
      <c r="K57" s="6"/>
      <c r="L57" s="6"/>
      <c r="M57" s="6"/>
      <c r="N57" s="6"/>
      <c r="O57" s="6"/>
      <c r="P57" s="6"/>
      <c r="Q57" s="6"/>
      <c r="R57" s="6"/>
      <c r="S57" s="6"/>
      <c r="T57" s="6"/>
      <c r="U57" s="46"/>
      <c r="V57" s="46"/>
      <c r="W57" s="46"/>
      <c r="X57" s="46"/>
      <c r="Y57" s="46"/>
      <c r="Z57" s="46"/>
      <c r="AA57" s="6"/>
      <c r="AB57" s="6"/>
      <c r="AC57" s="6"/>
      <c r="AD57" s="6"/>
      <c r="AE57" s="6"/>
      <c r="AF57" s="6"/>
      <c r="AG57" s="6"/>
      <c r="AH57" s="6"/>
      <c r="AI57" s="6"/>
      <c r="AJ57" s="6"/>
      <c r="AK57" s="6"/>
      <c r="AL57" s="6"/>
      <c r="AM57" s="6"/>
      <c r="AN57" s="6"/>
      <c r="AO57" s="6"/>
      <c r="AP57" s="6"/>
      <c r="AQ57" s="6"/>
      <c r="AR57" s="6"/>
      <c r="AS57" s="6"/>
      <c r="AT57" s="6"/>
      <c r="AU57" s="6"/>
      <c r="AV57" s="6"/>
      <c r="AW57" s="6"/>
      <c r="AX57" s="6"/>
      <c r="AY57" s="6"/>
      <c r="AZ57" s="6"/>
    </row>
    <row r="58" spans="1:52" ht="15" customHeight="1" x14ac:dyDescent="0.45">
      <c r="A58" s="46"/>
      <c r="B58" s="6"/>
      <c r="C58" s="6"/>
      <c r="D58" s="6"/>
      <c r="E58" s="6"/>
      <c r="F58" s="6"/>
      <c r="G58" s="6"/>
      <c r="H58" s="6"/>
      <c r="I58" s="6"/>
      <c r="J58" s="6"/>
      <c r="K58" s="6"/>
      <c r="L58" s="6"/>
      <c r="M58" s="6"/>
      <c r="N58" s="6"/>
      <c r="O58" s="6"/>
      <c r="P58" s="6"/>
      <c r="Q58" s="6"/>
      <c r="R58" s="6"/>
      <c r="S58" s="6"/>
      <c r="T58" s="6"/>
      <c r="U58" s="46"/>
      <c r="V58" s="46"/>
      <c r="W58" s="46"/>
      <c r="X58" s="46"/>
      <c r="Y58" s="46"/>
      <c r="Z58" s="46"/>
      <c r="AA58" s="6"/>
      <c r="AB58" s="6"/>
      <c r="AC58" s="6"/>
      <c r="AD58" s="6"/>
      <c r="AE58" s="6"/>
      <c r="AF58" s="6"/>
      <c r="AG58" s="6"/>
      <c r="AH58" s="6"/>
      <c r="AI58" s="6"/>
      <c r="AJ58" s="6"/>
      <c r="AK58" s="6"/>
      <c r="AL58" s="6"/>
      <c r="AM58" s="6"/>
      <c r="AN58" s="6"/>
      <c r="AO58" s="6"/>
      <c r="AP58" s="6"/>
      <c r="AQ58" s="6"/>
      <c r="AR58" s="6"/>
      <c r="AS58" s="6"/>
      <c r="AT58" s="6"/>
      <c r="AU58" s="6"/>
      <c r="AV58" s="6"/>
      <c r="AW58" s="6"/>
      <c r="AX58" s="6"/>
      <c r="AY58" s="6"/>
      <c r="AZ58" s="6"/>
    </row>
    <row r="59" spans="1:52" ht="15" customHeight="1" x14ac:dyDescent="0.45">
      <c r="A59" s="46"/>
      <c r="B59" s="6"/>
      <c r="C59" s="6"/>
      <c r="D59" s="6"/>
      <c r="E59" s="6"/>
      <c r="F59" s="6"/>
      <c r="G59" s="6"/>
      <c r="H59" s="6"/>
      <c r="I59" s="6"/>
      <c r="J59" s="6"/>
      <c r="K59" s="6"/>
      <c r="L59" s="6"/>
      <c r="M59" s="6"/>
      <c r="N59" s="6"/>
      <c r="O59" s="6"/>
      <c r="P59" s="6"/>
      <c r="Q59" s="6"/>
      <c r="R59" s="6"/>
      <c r="S59" s="6"/>
      <c r="T59" s="6"/>
      <c r="U59" s="46"/>
      <c r="V59" s="46"/>
      <c r="W59" s="46"/>
      <c r="X59" s="46"/>
      <c r="Y59" s="46"/>
      <c r="Z59" s="46"/>
      <c r="AA59" s="6"/>
      <c r="AB59" s="6"/>
      <c r="AC59" s="6"/>
      <c r="AD59" s="6"/>
      <c r="AE59" s="6"/>
      <c r="AF59" s="6"/>
      <c r="AG59" s="6"/>
      <c r="AH59" s="6"/>
      <c r="AI59" s="6"/>
      <c r="AJ59" s="6"/>
      <c r="AK59" s="6"/>
      <c r="AL59" s="6"/>
      <c r="AM59" s="6"/>
      <c r="AN59" s="6"/>
      <c r="AO59" s="6"/>
      <c r="AP59" s="6"/>
      <c r="AQ59" s="6"/>
      <c r="AR59" s="6"/>
      <c r="AS59" s="6"/>
      <c r="AT59" s="6"/>
      <c r="AU59" s="6"/>
      <c r="AV59" s="6"/>
      <c r="AW59" s="6"/>
      <c r="AX59" s="6"/>
      <c r="AY59" s="6"/>
      <c r="AZ59" s="6"/>
    </row>
    <row r="60" spans="1:52" ht="15" customHeight="1" x14ac:dyDescent="0.45">
      <c r="A60" s="46"/>
      <c r="B60" s="6"/>
      <c r="C60" s="6"/>
      <c r="D60" s="6"/>
      <c r="E60" s="6"/>
      <c r="F60" s="6"/>
      <c r="G60" s="6"/>
      <c r="H60" s="6"/>
      <c r="I60" s="6"/>
      <c r="J60" s="6"/>
      <c r="K60" s="6"/>
      <c r="L60" s="6"/>
      <c r="M60" s="6"/>
      <c r="N60" s="6"/>
      <c r="O60" s="6"/>
      <c r="P60" s="6"/>
      <c r="Q60" s="6"/>
      <c r="R60" s="6"/>
      <c r="S60" s="6"/>
      <c r="T60" s="6"/>
      <c r="U60" s="46"/>
      <c r="V60" s="46"/>
      <c r="W60" s="46"/>
      <c r="X60" s="46"/>
      <c r="Y60" s="46"/>
      <c r="Z60" s="46"/>
      <c r="AA60" s="6"/>
      <c r="AB60" s="6"/>
      <c r="AC60" s="6"/>
      <c r="AD60" s="6"/>
      <c r="AE60" s="6"/>
      <c r="AF60" s="6"/>
      <c r="AG60" s="6"/>
      <c r="AH60" s="6"/>
      <c r="AI60" s="6"/>
      <c r="AJ60" s="6"/>
      <c r="AK60" s="6"/>
      <c r="AL60" s="6"/>
      <c r="AM60" s="6"/>
      <c r="AN60" s="6"/>
      <c r="AO60" s="6"/>
      <c r="AP60" s="6"/>
      <c r="AQ60" s="6"/>
      <c r="AR60" s="6"/>
      <c r="AS60" s="6"/>
      <c r="AT60" s="6"/>
      <c r="AU60" s="6"/>
      <c r="AV60" s="6"/>
      <c r="AW60" s="6"/>
      <c r="AX60" s="6"/>
      <c r="AY60" s="6"/>
      <c r="AZ60" s="6"/>
    </row>
    <row r="61" spans="1:52" ht="15" customHeight="1" x14ac:dyDescent="0.45">
      <c r="A61" s="46"/>
      <c r="B61" s="6"/>
      <c r="C61" s="6"/>
      <c r="D61" s="6"/>
      <c r="E61" s="6"/>
      <c r="F61" s="6"/>
      <c r="G61" s="6"/>
      <c r="H61" s="6"/>
      <c r="I61" s="6"/>
      <c r="J61" s="6"/>
      <c r="K61" s="6"/>
      <c r="L61" s="6"/>
      <c r="M61" s="6"/>
      <c r="N61" s="6"/>
      <c r="O61" s="6"/>
      <c r="P61" s="6"/>
      <c r="Q61" s="6"/>
      <c r="R61" s="6"/>
      <c r="S61" s="6"/>
      <c r="T61" s="6"/>
      <c r="U61" s="46"/>
      <c r="V61" s="46"/>
      <c r="W61" s="46"/>
      <c r="X61" s="46"/>
      <c r="Y61" s="46"/>
      <c r="Z61" s="46"/>
      <c r="AA61" s="6"/>
      <c r="AB61" s="6"/>
      <c r="AC61" s="6"/>
      <c r="AD61" s="6"/>
      <c r="AE61" s="6"/>
      <c r="AF61" s="6"/>
      <c r="AG61" s="6"/>
      <c r="AH61" s="6"/>
      <c r="AI61" s="6"/>
      <c r="AJ61" s="6"/>
      <c r="AK61" s="6"/>
      <c r="AL61" s="6"/>
      <c r="AM61" s="6"/>
      <c r="AN61" s="6"/>
      <c r="AO61" s="6"/>
      <c r="AP61" s="6"/>
      <c r="AQ61" s="6"/>
      <c r="AR61" s="6"/>
      <c r="AS61" s="6"/>
      <c r="AT61" s="6"/>
      <c r="AU61" s="6"/>
      <c r="AV61" s="6"/>
      <c r="AW61" s="6"/>
      <c r="AX61" s="6"/>
      <c r="AY61" s="6"/>
      <c r="AZ61" s="6"/>
    </row>
    <row r="62" spans="1:52" ht="15" customHeight="1" x14ac:dyDescent="0.45">
      <c r="A62" s="46"/>
      <c r="B62" s="6"/>
      <c r="C62" s="6"/>
      <c r="D62" s="6"/>
      <c r="E62" s="6"/>
      <c r="F62" s="6"/>
      <c r="G62" s="6"/>
      <c r="H62" s="6"/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46"/>
      <c r="V62" s="46"/>
      <c r="W62" s="46"/>
      <c r="X62" s="46"/>
      <c r="Y62" s="46"/>
      <c r="Z62" s="46"/>
      <c r="AA62" s="6"/>
      <c r="AB62" s="6"/>
      <c r="AC62" s="6"/>
      <c r="AD62" s="6"/>
      <c r="AE62" s="6"/>
      <c r="AF62" s="6"/>
      <c r="AG62" s="6"/>
      <c r="AH62" s="6"/>
      <c r="AI62" s="6"/>
      <c r="AJ62" s="6"/>
      <c r="AK62" s="6"/>
      <c r="AL62" s="6"/>
      <c r="AM62" s="6"/>
      <c r="AN62" s="6"/>
      <c r="AO62" s="6"/>
      <c r="AP62" s="6"/>
      <c r="AQ62" s="6"/>
      <c r="AR62" s="6"/>
      <c r="AS62" s="6"/>
      <c r="AT62" s="6"/>
      <c r="AU62" s="6"/>
      <c r="AV62" s="6"/>
      <c r="AW62" s="6"/>
      <c r="AX62" s="6"/>
      <c r="AY62" s="6"/>
      <c r="AZ62" s="6"/>
    </row>
    <row r="63" spans="1:52" ht="15" customHeight="1" x14ac:dyDescent="0.45">
      <c r="A63" s="46"/>
      <c r="B63" s="6"/>
      <c r="C63" s="6"/>
      <c r="D63" s="6"/>
      <c r="E63" s="6"/>
      <c r="F63" s="6"/>
      <c r="G63" s="6"/>
      <c r="H63" s="6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46"/>
      <c r="V63" s="46"/>
      <c r="W63" s="46"/>
      <c r="X63" s="46"/>
      <c r="Y63" s="46"/>
      <c r="Z63" s="46"/>
      <c r="AA63" s="6"/>
      <c r="AB63" s="6"/>
      <c r="AC63" s="6"/>
      <c r="AD63" s="6"/>
      <c r="AE63" s="6"/>
      <c r="AF63" s="6"/>
      <c r="AG63" s="6"/>
      <c r="AH63" s="6"/>
      <c r="AI63" s="6"/>
      <c r="AJ63" s="6"/>
      <c r="AK63" s="6"/>
      <c r="AL63" s="6"/>
      <c r="AM63" s="6"/>
      <c r="AN63" s="6"/>
      <c r="AO63" s="6"/>
      <c r="AP63" s="6"/>
      <c r="AQ63" s="6"/>
      <c r="AR63" s="6"/>
      <c r="AS63" s="6"/>
      <c r="AT63" s="6"/>
      <c r="AU63" s="6"/>
      <c r="AV63" s="6"/>
      <c r="AW63" s="6"/>
      <c r="AX63" s="6"/>
      <c r="AY63" s="6"/>
      <c r="AZ63" s="6"/>
    </row>
    <row r="64" spans="1:52" ht="15" customHeight="1" x14ac:dyDescent="0.45">
      <c r="A64" s="46"/>
      <c r="B64" s="6"/>
      <c r="C64" s="6"/>
      <c r="D64" s="6"/>
      <c r="E64" s="6"/>
      <c r="F64" s="6"/>
      <c r="G64" s="6"/>
      <c r="H64" s="6"/>
      <c r="I64" s="6"/>
      <c r="J64" s="6"/>
      <c r="K64" s="6"/>
      <c r="L64" s="6"/>
      <c r="M64" s="6"/>
      <c r="N64" s="6"/>
      <c r="O64" s="6"/>
      <c r="P64" s="6"/>
      <c r="Q64" s="6"/>
      <c r="R64" s="6"/>
      <c r="S64" s="6"/>
      <c r="T64" s="6"/>
      <c r="U64" s="46"/>
      <c r="V64" s="46"/>
      <c r="W64" s="46"/>
      <c r="X64" s="46"/>
      <c r="Y64" s="46"/>
      <c r="Z64" s="46"/>
      <c r="AA64" s="6"/>
      <c r="AB64" s="6"/>
      <c r="AC64" s="6"/>
      <c r="AD64" s="6"/>
      <c r="AE64" s="6"/>
      <c r="AF64" s="6"/>
      <c r="AG64" s="6"/>
      <c r="AH64" s="6"/>
      <c r="AI64" s="6"/>
      <c r="AJ64" s="6"/>
      <c r="AK64" s="6"/>
      <c r="AL64" s="6"/>
      <c r="AM64" s="6"/>
      <c r="AN64" s="6"/>
      <c r="AO64" s="6"/>
      <c r="AP64" s="6"/>
      <c r="AQ64" s="6"/>
      <c r="AR64" s="6"/>
      <c r="AS64" s="6"/>
      <c r="AT64" s="6"/>
      <c r="AU64" s="6"/>
      <c r="AV64" s="6"/>
      <c r="AW64" s="6"/>
      <c r="AX64" s="6"/>
      <c r="AY64" s="6"/>
      <c r="AZ64" s="6"/>
    </row>
    <row r="65" spans="1:52" ht="15" customHeight="1" x14ac:dyDescent="0.45">
      <c r="A65" s="46"/>
      <c r="B65" s="6"/>
      <c r="C65" s="6"/>
      <c r="D65" s="6"/>
      <c r="E65" s="6"/>
      <c r="F65" s="6"/>
      <c r="G65" s="6"/>
      <c r="H65" s="6"/>
      <c r="I65" s="6"/>
      <c r="J65" s="6"/>
      <c r="K65" s="6"/>
      <c r="L65" s="6"/>
      <c r="M65" s="6"/>
      <c r="N65" s="6"/>
      <c r="O65" s="6"/>
      <c r="P65" s="6"/>
      <c r="Q65" s="6"/>
      <c r="R65" s="6"/>
      <c r="S65" s="6"/>
      <c r="T65" s="6"/>
      <c r="U65" s="46"/>
      <c r="V65" s="46"/>
      <c r="W65" s="46"/>
      <c r="X65" s="46"/>
      <c r="Y65" s="46"/>
      <c r="Z65" s="46"/>
      <c r="AA65" s="6"/>
      <c r="AB65" s="6"/>
      <c r="AC65" s="6"/>
      <c r="AD65" s="6"/>
      <c r="AE65" s="6"/>
      <c r="AF65" s="6"/>
      <c r="AG65" s="6"/>
      <c r="AH65" s="6"/>
      <c r="AI65" s="6"/>
      <c r="AJ65" s="6"/>
      <c r="AK65" s="6"/>
      <c r="AL65" s="6"/>
      <c r="AM65" s="6"/>
      <c r="AN65" s="6"/>
      <c r="AO65" s="6"/>
      <c r="AP65" s="6"/>
      <c r="AQ65" s="6"/>
      <c r="AR65" s="6"/>
      <c r="AS65" s="6"/>
      <c r="AT65" s="6"/>
      <c r="AU65" s="6"/>
      <c r="AV65" s="6"/>
      <c r="AW65" s="6"/>
      <c r="AX65" s="6"/>
      <c r="AY65" s="6"/>
      <c r="AZ65" s="6"/>
    </row>
    <row r="66" spans="1:52" ht="15" customHeight="1" x14ac:dyDescent="0.45">
      <c r="A66" s="46"/>
      <c r="B66" s="6"/>
      <c r="C66" s="6"/>
      <c r="D66" s="6"/>
      <c r="E66" s="6"/>
      <c r="F66" s="6"/>
      <c r="G66" s="6"/>
      <c r="H66" s="6"/>
      <c r="I66" s="6"/>
      <c r="J66" s="6"/>
      <c r="K66" s="6"/>
      <c r="L66" s="6"/>
      <c r="M66" s="6"/>
      <c r="N66" s="6"/>
      <c r="O66" s="6"/>
      <c r="P66" s="6"/>
      <c r="Q66" s="6"/>
      <c r="R66" s="6"/>
      <c r="S66" s="6"/>
      <c r="T66" s="6"/>
      <c r="U66" s="46"/>
      <c r="V66" s="46"/>
      <c r="W66" s="46"/>
      <c r="X66" s="46"/>
      <c r="Y66" s="46"/>
      <c r="Z66" s="46"/>
      <c r="AA66" s="6"/>
      <c r="AB66" s="6"/>
      <c r="AC66" s="6"/>
      <c r="AD66" s="6"/>
      <c r="AE66" s="6"/>
      <c r="AF66" s="6"/>
      <c r="AG66" s="6"/>
      <c r="AH66" s="6"/>
      <c r="AI66" s="6"/>
      <c r="AJ66" s="6"/>
      <c r="AK66" s="6"/>
      <c r="AL66" s="6"/>
      <c r="AM66" s="6"/>
      <c r="AN66" s="6"/>
      <c r="AO66" s="6"/>
      <c r="AP66" s="6"/>
      <c r="AQ66" s="6"/>
      <c r="AR66" s="6"/>
      <c r="AS66" s="6"/>
      <c r="AT66" s="6"/>
      <c r="AU66" s="6"/>
      <c r="AV66" s="6"/>
      <c r="AW66" s="6"/>
      <c r="AX66" s="6"/>
      <c r="AY66" s="6"/>
      <c r="AZ66" s="6"/>
    </row>
    <row r="67" spans="1:52" ht="15" customHeight="1" x14ac:dyDescent="0.45">
      <c r="A67" s="46"/>
      <c r="B67" s="6"/>
      <c r="C67" s="6"/>
      <c r="D67" s="6"/>
      <c r="E67" s="6"/>
      <c r="F67" s="6"/>
      <c r="G67" s="6"/>
      <c r="H67" s="6"/>
      <c r="I67" s="6"/>
      <c r="J67" s="6"/>
      <c r="K67" s="6"/>
      <c r="L67" s="6"/>
      <c r="M67" s="6"/>
      <c r="N67" s="6"/>
      <c r="O67" s="6"/>
      <c r="P67" s="6"/>
      <c r="Q67" s="6"/>
      <c r="R67" s="6"/>
      <c r="S67" s="6"/>
      <c r="T67" s="6"/>
      <c r="U67" s="46"/>
      <c r="V67" s="46"/>
      <c r="W67" s="46"/>
      <c r="X67" s="46"/>
      <c r="Y67" s="46"/>
      <c r="Z67" s="46"/>
      <c r="AA67" s="6"/>
      <c r="AB67" s="6"/>
      <c r="AC67" s="6"/>
      <c r="AD67" s="6"/>
      <c r="AE67" s="6"/>
      <c r="AF67" s="6"/>
      <c r="AG67" s="6"/>
      <c r="AH67" s="6"/>
      <c r="AI67" s="6"/>
      <c r="AJ67" s="6"/>
      <c r="AK67" s="6"/>
      <c r="AL67" s="6"/>
      <c r="AM67" s="6"/>
      <c r="AN67" s="6"/>
      <c r="AO67" s="6"/>
      <c r="AP67" s="6"/>
      <c r="AQ67" s="6"/>
      <c r="AR67" s="6"/>
      <c r="AS67" s="6"/>
      <c r="AT67" s="6"/>
      <c r="AU67" s="6"/>
      <c r="AV67" s="6"/>
      <c r="AW67" s="6"/>
      <c r="AX67" s="6"/>
      <c r="AY67" s="6"/>
      <c r="AZ67" s="6"/>
    </row>
    <row r="68" spans="1:52" ht="15" customHeight="1" x14ac:dyDescent="0.45">
      <c r="A68" s="46"/>
      <c r="B68" s="6"/>
      <c r="C68" s="6"/>
      <c r="D68" s="6"/>
      <c r="E68" s="6"/>
      <c r="F68" s="6"/>
      <c r="G68" s="6"/>
      <c r="H68" s="6"/>
      <c r="I68" s="6"/>
      <c r="J68" s="6"/>
      <c r="K68" s="6"/>
      <c r="L68" s="6"/>
      <c r="M68" s="6"/>
      <c r="N68" s="6"/>
      <c r="O68" s="6"/>
      <c r="P68" s="6"/>
      <c r="Q68" s="6"/>
      <c r="R68" s="6"/>
      <c r="S68" s="6"/>
      <c r="T68" s="6"/>
      <c r="U68" s="46"/>
      <c r="V68" s="46"/>
      <c r="W68" s="46"/>
      <c r="X68" s="46"/>
      <c r="Y68" s="46"/>
      <c r="Z68" s="46"/>
      <c r="AA68" s="6"/>
      <c r="AB68" s="6"/>
      <c r="AC68" s="6"/>
      <c r="AD68" s="6"/>
      <c r="AE68" s="6"/>
      <c r="AF68" s="6"/>
      <c r="AG68" s="6"/>
      <c r="AH68" s="6"/>
      <c r="AI68" s="6"/>
      <c r="AJ68" s="6"/>
      <c r="AK68" s="6"/>
      <c r="AL68" s="6"/>
      <c r="AM68" s="6"/>
      <c r="AN68" s="6"/>
      <c r="AO68" s="6"/>
      <c r="AP68" s="6"/>
      <c r="AQ68" s="6"/>
      <c r="AR68" s="6"/>
      <c r="AS68" s="6"/>
      <c r="AT68" s="6"/>
      <c r="AU68" s="6"/>
      <c r="AV68" s="6"/>
      <c r="AW68" s="6"/>
      <c r="AX68" s="6"/>
      <c r="AY68" s="6"/>
      <c r="AZ68" s="6"/>
    </row>
    <row r="69" spans="1:52" ht="15" customHeight="1" x14ac:dyDescent="0.45">
      <c r="A69" s="6"/>
      <c r="B69" s="6"/>
      <c r="C69" s="6"/>
      <c r="D69" s="6"/>
      <c r="E69" s="6"/>
      <c r="F69" s="6"/>
      <c r="G69" s="6"/>
      <c r="H69" s="6"/>
      <c r="I69" s="6"/>
      <c r="J69" s="6"/>
      <c r="K69" s="6"/>
      <c r="L69" s="6"/>
      <c r="M69" s="6"/>
      <c r="N69" s="6"/>
      <c r="O69" s="6"/>
      <c r="P69" s="6"/>
      <c r="Q69" s="6"/>
      <c r="R69" s="6"/>
      <c r="S69" s="6"/>
      <c r="T69" s="6"/>
      <c r="AA69" s="6"/>
      <c r="AB69" s="6"/>
      <c r="AC69" s="6"/>
      <c r="AD69" s="6"/>
      <c r="AE69" s="6"/>
      <c r="AF69" s="6"/>
      <c r="AG69" s="6"/>
      <c r="AH69" s="6"/>
      <c r="AI69" s="6"/>
      <c r="AJ69" s="6"/>
      <c r="AK69" s="6"/>
      <c r="AL69" s="6"/>
      <c r="AM69" s="6"/>
      <c r="AN69" s="6"/>
      <c r="AO69" s="6"/>
      <c r="AP69" s="6"/>
      <c r="AQ69" s="6"/>
      <c r="AR69" s="6"/>
      <c r="AS69" s="6"/>
      <c r="AT69" s="6"/>
      <c r="AU69" s="6"/>
      <c r="AV69" s="6"/>
      <c r="AW69" s="6"/>
      <c r="AX69" s="6"/>
      <c r="AY69" s="6"/>
      <c r="AZ69" s="6"/>
    </row>
    <row r="70" spans="1:52" ht="15" customHeight="1" x14ac:dyDescent="0.45">
      <c r="A70" s="6"/>
      <c r="B70" s="6"/>
      <c r="C70" s="6"/>
      <c r="D70" s="6"/>
      <c r="E70" s="6"/>
      <c r="F70" s="6"/>
      <c r="G70" s="6"/>
      <c r="H70" s="6"/>
      <c r="I70" s="6"/>
      <c r="J70" s="6"/>
      <c r="K70" s="6"/>
      <c r="L70" s="6"/>
      <c r="M70" s="6"/>
      <c r="N70" s="6"/>
      <c r="O70" s="6"/>
      <c r="P70" s="6"/>
      <c r="Q70" s="6"/>
      <c r="R70" s="6"/>
      <c r="S70" s="6"/>
      <c r="T70" s="6"/>
      <c r="AA70" s="6"/>
      <c r="AB70" s="6"/>
      <c r="AC70" s="6"/>
      <c r="AD70" s="6"/>
      <c r="AE70" s="6"/>
      <c r="AF70" s="6"/>
      <c r="AG70" s="6"/>
      <c r="AH70" s="6"/>
      <c r="AI70" s="6"/>
      <c r="AJ70" s="6"/>
      <c r="AK70" s="6"/>
      <c r="AL70" s="6"/>
      <c r="AM70" s="6"/>
      <c r="AN70" s="6"/>
      <c r="AO70" s="6"/>
      <c r="AP70" s="6"/>
      <c r="AQ70" s="6"/>
      <c r="AR70" s="6"/>
      <c r="AS70" s="6"/>
      <c r="AT70" s="6"/>
      <c r="AU70" s="6"/>
      <c r="AV70" s="6"/>
      <c r="AW70" s="6"/>
      <c r="AX70" s="6"/>
      <c r="AY70" s="6"/>
      <c r="AZ70" s="6"/>
    </row>
    <row r="71" spans="1:52" ht="15" customHeight="1" x14ac:dyDescent="0.45">
      <c r="A71" s="6"/>
      <c r="B71" s="6"/>
      <c r="C71" s="6"/>
      <c r="D71" s="6"/>
      <c r="E71" s="6"/>
      <c r="F71" s="6"/>
      <c r="G71" s="6"/>
      <c r="H71" s="6"/>
      <c r="I71" s="6"/>
      <c r="J71" s="6"/>
      <c r="K71" s="6"/>
      <c r="L71" s="6"/>
      <c r="M71" s="6"/>
      <c r="N71" s="6"/>
      <c r="O71" s="6"/>
      <c r="P71" s="6"/>
      <c r="Q71" s="6"/>
      <c r="R71" s="6"/>
      <c r="S71" s="6"/>
      <c r="T71" s="6"/>
      <c r="AA71" s="6"/>
      <c r="AB71" s="6"/>
      <c r="AC71" s="6"/>
      <c r="AD71" s="6"/>
      <c r="AE71" s="6"/>
      <c r="AF71" s="6"/>
      <c r="AG71" s="6"/>
      <c r="AH71" s="6"/>
      <c r="AI71" s="6"/>
      <c r="AJ71" s="6"/>
      <c r="AK71" s="6"/>
      <c r="AL71" s="6"/>
      <c r="AM71" s="6"/>
      <c r="AN71" s="6"/>
      <c r="AO71" s="6"/>
      <c r="AP71" s="6"/>
      <c r="AQ71" s="6"/>
      <c r="AR71" s="6"/>
      <c r="AS71" s="6"/>
      <c r="AT71" s="6"/>
      <c r="AU71" s="6"/>
      <c r="AV71" s="6"/>
      <c r="AW71" s="6"/>
      <c r="AX71" s="6"/>
      <c r="AY71" s="6"/>
      <c r="AZ71" s="6"/>
    </row>
    <row r="72" spans="1:52" ht="15" customHeight="1" x14ac:dyDescent="0.45">
      <c r="A72" s="6"/>
      <c r="B72" s="6"/>
      <c r="C72" s="6"/>
      <c r="D72" s="6"/>
      <c r="E72" s="6"/>
      <c r="F72" s="6"/>
      <c r="G72" s="6"/>
      <c r="H72" s="6"/>
      <c r="I72" s="6"/>
      <c r="J72" s="6"/>
      <c r="K72" s="6"/>
      <c r="L72" s="6"/>
      <c r="M72" s="6"/>
      <c r="N72" s="6"/>
      <c r="O72" s="6"/>
      <c r="P72" s="6"/>
      <c r="Q72" s="6"/>
      <c r="R72" s="6"/>
      <c r="S72" s="6"/>
      <c r="T72" s="6"/>
      <c r="AA72" s="6"/>
      <c r="AB72" s="6"/>
      <c r="AC72" s="6"/>
      <c r="AD72" s="6"/>
      <c r="AE72" s="6"/>
      <c r="AF72" s="6"/>
      <c r="AG72" s="6"/>
      <c r="AH72" s="6"/>
      <c r="AI72" s="6"/>
      <c r="AJ72" s="6"/>
      <c r="AK72" s="6"/>
      <c r="AL72" s="6"/>
      <c r="AM72" s="6"/>
      <c r="AN72" s="6"/>
      <c r="AO72" s="6"/>
      <c r="AP72" s="6"/>
      <c r="AQ72" s="6"/>
      <c r="AR72" s="6"/>
      <c r="AS72" s="6"/>
      <c r="AT72" s="6"/>
      <c r="AU72" s="6"/>
      <c r="AV72" s="6"/>
      <c r="AW72" s="6"/>
      <c r="AX72" s="6"/>
      <c r="AY72" s="6"/>
      <c r="AZ72" s="6"/>
    </row>
    <row r="73" spans="1:52" ht="15" customHeight="1" x14ac:dyDescent="0.45">
      <c r="A73" s="6"/>
      <c r="B73" s="6"/>
      <c r="C73" s="6"/>
      <c r="D73" s="6"/>
      <c r="E73" s="6"/>
      <c r="F73" s="6"/>
      <c r="G73" s="6"/>
      <c r="H73" s="6"/>
      <c r="I73" s="6"/>
      <c r="J73" s="6"/>
      <c r="K73" s="6"/>
      <c r="L73" s="6"/>
      <c r="M73" s="6"/>
      <c r="N73" s="6"/>
      <c r="O73" s="6"/>
      <c r="P73" s="6"/>
      <c r="Q73" s="6"/>
      <c r="R73" s="6"/>
      <c r="S73" s="6"/>
      <c r="T73" s="6"/>
      <c r="AA73" s="6"/>
      <c r="AB73" s="6"/>
      <c r="AC73" s="6"/>
      <c r="AD73" s="6"/>
      <c r="AE73" s="6"/>
      <c r="AF73" s="6"/>
      <c r="AG73" s="6"/>
      <c r="AH73" s="6"/>
      <c r="AI73" s="6"/>
      <c r="AJ73" s="6"/>
      <c r="AK73" s="6"/>
      <c r="AL73" s="6"/>
      <c r="AM73" s="6"/>
      <c r="AN73" s="6"/>
      <c r="AO73" s="6"/>
      <c r="AP73" s="6"/>
      <c r="AQ73" s="6"/>
      <c r="AR73" s="6"/>
      <c r="AS73" s="6"/>
      <c r="AT73" s="6"/>
      <c r="AU73" s="6"/>
      <c r="AV73" s="6"/>
      <c r="AW73" s="6"/>
      <c r="AX73" s="6"/>
      <c r="AY73" s="6"/>
      <c r="AZ73" s="6"/>
    </row>
    <row r="74" spans="1:52" ht="15" customHeight="1" x14ac:dyDescent="0.45">
      <c r="A74" s="6"/>
      <c r="B74" s="6"/>
      <c r="C74" s="6"/>
      <c r="D74" s="6"/>
      <c r="E74" s="6"/>
      <c r="F74" s="6"/>
      <c r="G74" s="6"/>
      <c r="H74" s="6"/>
      <c r="I74" s="6"/>
      <c r="J74" s="6"/>
      <c r="K74" s="6"/>
      <c r="L74" s="6"/>
      <c r="M74" s="6"/>
      <c r="N74" s="6"/>
      <c r="O74" s="6"/>
      <c r="P74" s="6"/>
      <c r="Q74" s="6"/>
      <c r="R74" s="6"/>
      <c r="S74" s="6"/>
      <c r="T74" s="6"/>
      <c r="AA74" s="6"/>
      <c r="AB74" s="6"/>
      <c r="AC74" s="6"/>
      <c r="AD74" s="6"/>
      <c r="AE74" s="6"/>
      <c r="AF74" s="6"/>
      <c r="AG74" s="6"/>
      <c r="AH74" s="6"/>
      <c r="AI74" s="6"/>
      <c r="AJ74" s="6"/>
      <c r="AK74" s="6"/>
      <c r="AL74" s="6"/>
      <c r="AM74" s="6"/>
      <c r="AN74" s="6"/>
      <c r="AO74" s="6"/>
      <c r="AP74" s="6"/>
      <c r="AQ74" s="6"/>
      <c r="AR74" s="6"/>
      <c r="AS74" s="6"/>
      <c r="AT74" s="6"/>
      <c r="AU74" s="6"/>
      <c r="AV74" s="6"/>
      <c r="AW74" s="6"/>
      <c r="AX74" s="6"/>
      <c r="AY74" s="6"/>
      <c r="AZ74" s="6"/>
    </row>
    <row r="75" spans="1:52" ht="15" customHeight="1" x14ac:dyDescent="0.45">
      <c r="A75" s="6"/>
      <c r="B75" s="6"/>
      <c r="C75" s="6"/>
      <c r="D75" s="6"/>
      <c r="E75" s="6"/>
      <c r="F75" s="6"/>
      <c r="G75" s="6"/>
      <c r="H75" s="6"/>
      <c r="I75" s="6"/>
      <c r="J75" s="6"/>
      <c r="K75" s="6"/>
      <c r="L75" s="6"/>
      <c r="M75" s="6"/>
      <c r="N75" s="6"/>
      <c r="O75" s="6"/>
      <c r="P75" s="6"/>
      <c r="Q75" s="6"/>
      <c r="R75" s="6"/>
      <c r="S75" s="6"/>
      <c r="T75" s="6"/>
      <c r="AA75" s="6"/>
      <c r="AB75" s="6"/>
      <c r="AC75" s="6"/>
      <c r="AD75" s="6"/>
      <c r="AE75" s="6"/>
      <c r="AF75" s="6"/>
      <c r="AG75" s="6"/>
      <c r="AH75" s="6"/>
      <c r="AI75" s="6"/>
      <c r="AJ75" s="6"/>
      <c r="AK75" s="6"/>
      <c r="AL75" s="6"/>
      <c r="AM75" s="6"/>
      <c r="AN75" s="6"/>
      <c r="AO75" s="6"/>
      <c r="AP75" s="6"/>
      <c r="AQ75" s="6"/>
      <c r="AR75" s="6"/>
      <c r="AS75" s="6"/>
      <c r="AT75" s="6"/>
      <c r="AU75" s="6"/>
      <c r="AV75" s="6"/>
      <c r="AW75" s="6"/>
      <c r="AX75" s="6"/>
      <c r="AY75" s="6"/>
      <c r="AZ75" s="6"/>
    </row>
    <row r="76" spans="1:52" ht="15" customHeight="1" x14ac:dyDescent="0.45">
      <c r="A76" s="6"/>
      <c r="B76" s="6"/>
      <c r="C76" s="6"/>
      <c r="D76" s="6"/>
      <c r="E76" s="6"/>
      <c r="F76" s="6"/>
      <c r="G76" s="6"/>
      <c r="H76" s="6"/>
      <c r="I76" s="6"/>
      <c r="J76" s="6"/>
      <c r="K76" s="6"/>
      <c r="L76" s="6"/>
      <c r="M76" s="6"/>
      <c r="N76" s="6"/>
      <c r="O76" s="6"/>
      <c r="P76" s="6"/>
      <c r="Q76" s="6"/>
      <c r="R76" s="6"/>
      <c r="S76" s="6"/>
      <c r="T76" s="6"/>
      <c r="AA76" s="6"/>
      <c r="AB76" s="6"/>
      <c r="AC76" s="6"/>
      <c r="AD76" s="6"/>
      <c r="AE76" s="6"/>
      <c r="AF76" s="6"/>
      <c r="AG76" s="6"/>
      <c r="AH76" s="6"/>
      <c r="AI76" s="6"/>
      <c r="AJ76" s="6"/>
      <c r="AK76" s="6"/>
      <c r="AL76" s="6"/>
      <c r="AM76" s="6"/>
      <c r="AN76" s="6"/>
      <c r="AO76" s="6"/>
      <c r="AP76" s="6"/>
      <c r="AQ76" s="6"/>
      <c r="AR76" s="6"/>
      <c r="AS76" s="6"/>
      <c r="AT76" s="6"/>
      <c r="AU76" s="6"/>
      <c r="AV76" s="6"/>
      <c r="AW76" s="6"/>
      <c r="AX76" s="6"/>
      <c r="AY76" s="6"/>
      <c r="AZ76" s="6"/>
    </row>
    <row r="77" spans="1:52" ht="15" customHeight="1" x14ac:dyDescent="0.45">
      <c r="A77" s="6"/>
      <c r="B77" s="6"/>
      <c r="C77" s="6"/>
      <c r="D77" s="6"/>
      <c r="E77" s="6"/>
      <c r="F77" s="6"/>
      <c r="G77" s="6"/>
      <c r="H77" s="6"/>
      <c r="I77" s="6"/>
      <c r="J77" s="6"/>
      <c r="K77" s="6"/>
      <c r="L77" s="6"/>
      <c r="M77" s="6"/>
      <c r="N77" s="6"/>
      <c r="O77" s="6"/>
      <c r="P77" s="6"/>
      <c r="Q77" s="6"/>
      <c r="R77" s="6"/>
      <c r="S77" s="6"/>
      <c r="T77" s="6"/>
      <c r="AA77" s="6"/>
      <c r="AB77" s="6"/>
      <c r="AC77" s="6"/>
      <c r="AD77" s="6"/>
      <c r="AE77" s="6"/>
      <c r="AF77" s="6"/>
      <c r="AG77" s="6"/>
      <c r="AH77" s="6"/>
      <c r="AI77" s="6"/>
      <c r="AJ77" s="6"/>
      <c r="AK77" s="6"/>
      <c r="AL77" s="6"/>
      <c r="AM77" s="6"/>
      <c r="AN77" s="6"/>
      <c r="AO77" s="6"/>
      <c r="AP77" s="6"/>
      <c r="AQ77" s="6"/>
      <c r="AR77" s="6"/>
      <c r="AS77" s="6"/>
      <c r="AT77" s="6"/>
      <c r="AU77" s="6"/>
      <c r="AV77" s="6"/>
      <c r="AW77" s="6"/>
      <c r="AX77" s="6"/>
      <c r="AY77" s="6"/>
      <c r="AZ77" s="6"/>
    </row>
    <row r="78" spans="1:52" ht="15" customHeight="1" x14ac:dyDescent="0.45">
      <c r="A78" s="6"/>
      <c r="B78" s="6"/>
      <c r="C78" s="6"/>
      <c r="D78" s="6"/>
      <c r="E78" s="6"/>
      <c r="F78" s="6"/>
      <c r="G78" s="6"/>
      <c r="H78" s="6"/>
      <c r="I78" s="6"/>
      <c r="J78" s="6"/>
      <c r="K78" s="6"/>
      <c r="L78" s="6"/>
      <c r="M78" s="6"/>
      <c r="N78" s="6"/>
      <c r="O78" s="6"/>
      <c r="P78" s="6"/>
      <c r="Q78" s="6"/>
      <c r="R78" s="6"/>
      <c r="S78" s="6"/>
      <c r="T78" s="6"/>
      <c r="AA78" s="6"/>
      <c r="AB78" s="6"/>
      <c r="AC78" s="6"/>
      <c r="AD78" s="6"/>
      <c r="AE78" s="6"/>
      <c r="AF78" s="6"/>
      <c r="AG78" s="6"/>
      <c r="AH78" s="6"/>
      <c r="AI78" s="6"/>
      <c r="AJ78" s="6"/>
      <c r="AK78" s="6"/>
      <c r="AL78" s="6"/>
      <c r="AM78" s="6"/>
      <c r="AN78" s="6"/>
      <c r="AO78" s="6"/>
      <c r="AP78" s="6"/>
      <c r="AQ78" s="6"/>
      <c r="AR78" s="6"/>
      <c r="AS78" s="6"/>
      <c r="AT78" s="6"/>
      <c r="AU78" s="6"/>
      <c r="AV78" s="6"/>
      <c r="AW78" s="6"/>
      <c r="AX78" s="6"/>
      <c r="AY78" s="6"/>
      <c r="AZ78" s="6"/>
    </row>
    <row r="79" spans="1:52" x14ac:dyDescent="0.45">
      <c r="A79" s="6"/>
      <c r="B79" s="6"/>
      <c r="C79" s="6"/>
      <c r="D79" s="6"/>
      <c r="E79" s="6"/>
      <c r="F79" s="6"/>
      <c r="G79" s="6"/>
      <c r="H79" s="6"/>
      <c r="I79" s="6"/>
      <c r="J79" s="6"/>
      <c r="K79" s="6"/>
      <c r="L79" s="6"/>
      <c r="M79" s="6"/>
      <c r="N79" s="6"/>
      <c r="O79" s="6"/>
      <c r="P79" s="6"/>
      <c r="Q79" s="6"/>
      <c r="R79" s="6"/>
      <c r="S79" s="6"/>
      <c r="T79" s="6"/>
      <c r="AA79" s="6"/>
      <c r="AB79" s="6"/>
      <c r="AC79" s="6"/>
      <c r="AD79" s="6"/>
      <c r="AE79" s="6"/>
      <c r="AF79" s="6"/>
      <c r="AG79" s="6"/>
      <c r="AH79" s="6"/>
      <c r="AI79" s="6"/>
      <c r="AJ79" s="6"/>
      <c r="AK79" s="6"/>
      <c r="AL79" s="6"/>
      <c r="AM79" s="6"/>
      <c r="AN79" s="6"/>
      <c r="AO79" s="6"/>
      <c r="AP79" s="6"/>
      <c r="AQ79" s="6"/>
      <c r="AR79" s="6"/>
      <c r="AS79" s="6"/>
      <c r="AT79" s="6"/>
      <c r="AU79" s="6"/>
      <c r="AV79" s="6"/>
      <c r="AW79" s="6"/>
      <c r="AX79" s="6"/>
      <c r="AY79" s="6"/>
      <c r="AZ79" s="6"/>
    </row>
    <row r="80" spans="1:52" x14ac:dyDescent="0.45">
      <c r="A80" s="6"/>
      <c r="B80" s="6"/>
      <c r="C80" s="6"/>
      <c r="D80" s="6"/>
      <c r="E80" s="6"/>
      <c r="F80" s="6"/>
      <c r="G80" s="6"/>
      <c r="H80" s="6"/>
      <c r="I80" s="6"/>
      <c r="J80" s="6"/>
      <c r="K80" s="6"/>
      <c r="L80" s="6"/>
      <c r="M80" s="6"/>
      <c r="N80" s="6"/>
      <c r="O80" s="6"/>
      <c r="P80" s="6"/>
      <c r="Q80" s="6"/>
      <c r="R80" s="6"/>
      <c r="S80" s="6"/>
      <c r="T80" s="6"/>
      <c r="AA80" s="6"/>
      <c r="AB80" s="6"/>
      <c r="AC80" s="6"/>
      <c r="AD80" s="6"/>
      <c r="AE80" s="6"/>
      <c r="AF80" s="6"/>
      <c r="AG80" s="6"/>
      <c r="AH80" s="6"/>
      <c r="AI80" s="6"/>
      <c r="AJ80" s="6"/>
      <c r="AK80" s="6"/>
      <c r="AL80" s="6"/>
      <c r="AM80" s="6"/>
      <c r="AN80" s="6"/>
      <c r="AO80" s="6"/>
      <c r="AP80" s="6"/>
      <c r="AQ80" s="6"/>
      <c r="AR80" s="6"/>
      <c r="AS80" s="6"/>
      <c r="AT80" s="6"/>
      <c r="AU80" s="6"/>
      <c r="AV80" s="6"/>
      <c r="AW80" s="6"/>
      <c r="AX80" s="6"/>
      <c r="AY80" s="6"/>
      <c r="AZ80" s="6"/>
    </row>
  </sheetData>
  <mergeCells count="19">
    <mergeCell ref="B2:T4"/>
    <mergeCell ref="B5:T5"/>
    <mergeCell ref="B7:F8"/>
    <mergeCell ref="G7:K8"/>
    <mergeCell ref="B10:F10"/>
    <mergeCell ref="H10:K10"/>
    <mergeCell ref="L10:P10"/>
    <mergeCell ref="Q10:T10"/>
    <mergeCell ref="B6:F6"/>
    <mergeCell ref="G6:K6"/>
    <mergeCell ref="L6:P6"/>
    <mergeCell ref="Q6:T6"/>
    <mergeCell ref="V6:AA6"/>
    <mergeCell ref="B9:F9"/>
    <mergeCell ref="G9:K9"/>
    <mergeCell ref="L9:P9"/>
    <mergeCell ref="Q9:T9"/>
    <mergeCell ref="L7:P8"/>
    <mergeCell ref="Q7:T8"/>
  </mergeCells>
  <pageMargins left="0.27777777777777779" right="0.27777777777777779" top="0.27777777777777779" bottom="0.27777777777777779" header="0.3" footer="0.3"/>
  <pageSetup paperSize="0" scale="0" orientation="landscape" horizontalDpi="0" verticalDpi="0" copie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Beheer</vt:lpstr>
      <vt:lpstr>Dashboard</vt:lpstr>
      <vt:lpstr>Ranglijst</vt:lpstr>
      <vt:lpstr>Statistieken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Tjerk Beke</dc:creator>
  <cp:lastModifiedBy>Tjerk Beke</cp:lastModifiedBy>
  <dcterms:created xsi:type="dcterms:W3CDTF">2026-05-05T17:30:40Z</dcterms:created>
  <dcterms:modified xsi:type="dcterms:W3CDTF">2026-05-10T15:09:41Z</dcterms:modified>
</cp:coreProperties>
</file>